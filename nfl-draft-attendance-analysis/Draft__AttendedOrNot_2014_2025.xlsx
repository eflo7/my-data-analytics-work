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8d3ac1ac4b44e9/Desktop/Personal Work/"/>
    </mc:Choice>
  </mc:AlternateContent>
  <xr:revisionPtr revIDLastSave="0" documentId="8_{9ED9366C-923D-4BBB-8FEC-715005C38909}" xr6:coauthVersionLast="47" xr6:coauthVersionMax="47" xr10:uidLastSave="{00000000-0000-0000-0000-000000000000}"/>
  <bookViews>
    <workbookView xWindow="-110" yWindow="-110" windowWidth="19420" windowHeight="11500" xr2:uid="{42FA8F26-8FE1-4724-B892-38E7F9B60911}"/>
  </bookViews>
  <sheets>
    <sheet name="Draft__AttendedOrNot_2014_2025" sheetId="1" r:id="rId1"/>
  </sheets>
  <calcPr calcId="0"/>
</workbook>
</file>

<file path=xl/calcChain.xml><?xml version="1.0" encoding="utf-8"?>
<calcChain xmlns="http://schemas.openxmlformats.org/spreadsheetml/2006/main">
  <c r="E384" i="1" l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X4" i="1" l="1"/>
  <c r="X10" i="1"/>
  <c r="W9" i="1"/>
  <c r="X9" i="1"/>
  <c r="W3" i="1"/>
  <c r="W10" i="1"/>
  <c r="X5" i="1"/>
  <c r="W8" i="1"/>
  <c r="X3" i="1"/>
  <c r="W5" i="1"/>
  <c r="W4" i="1"/>
  <c r="X8" i="1"/>
</calcChain>
</file>

<file path=xl/sharedStrings.xml><?xml version="1.0" encoding="utf-8"?>
<sst xmlns="http://schemas.openxmlformats.org/spreadsheetml/2006/main" count="3932" uniqueCount="621">
  <si>
    <t>Year</t>
  </si>
  <si>
    <t>Pick</t>
  </si>
  <si>
    <t>Team</t>
  </si>
  <si>
    <t>Team_Abbr</t>
  </si>
  <si>
    <t>Player</t>
  </si>
  <si>
    <t>School</t>
  </si>
  <si>
    <t>Evidence</t>
  </si>
  <si>
    <t>Evidence_Tier</t>
  </si>
  <si>
    <t>Confidence</t>
  </si>
  <si>
    <t>Attendance_Source_URL</t>
  </si>
  <si>
    <t>Draft_Pick_Source_URL</t>
  </si>
  <si>
    <t>Notes</t>
  </si>
  <si>
    <t>San Francisco 49ers</t>
  </si>
  <si>
    <t>SF</t>
  </si>
  <si>
    <t>QB</t>
  </si>
  <si>
    <t>Utah</t>
  </si>
  <si>
    <t>Tier 5</t>
  </si>
  <si>
    <t>Low</t>
  </si>
  <si>
    <t>https://raw.githubusercontent.com/JackLich10/nfl-draft-data/main/nfl_draft_prospects.csv</t>
  </si>
  <si>
    <t>Miami Dolphins</t>
  </si>
  <si>
    <t>MIA</t>
  </si>
  <si>
    <t>RB</t>
  </si>
  <si>
    <t>Auburn</t>
  </si>
  <si>
    <t>Cleveland Browns</t>
  </si>
  <si>
    <t>CLE</t>
  </si>
  <si>
    <t>WR</t>
  </si>
  <si>
    <t>Michigan</t>
  </si>
  <si>
    <t>Chicago Bears</t>
  </si>
  <si>
    <t>CHI</t>
  </si>
  <si>
    <t>Texas</t>
  </si>
  <si>
    <t>Tampa Bay Buccaneers</t>
  </si>
  <si>
    <t>TB</t>
  </si>
  <si>
    <t>Tennessee Titans</t>
  </si>
  <si>
    <t>TEN</t>
  </si>
  <si>
    <t>West Virginia</t>
  </si>
  <si>
    <t>Minnesota Vikings</t>
  </si>
  <si>
    <t>MIN</t>
  </si>
  <si>
    <t>South Carolina</t>
  </si>
  <si>
    <t>Arizona Cardinals</t>
  </si>
  <si>
    <t>ARI</t>
  </si>
  <si>
    <t>Washington Redskins</t>
  </si>
  <si>
    <t>WSH</t>
  </si>
  <si>
    <t>Detroit Lions</t>
  </si>
  <si>
    <t>DET</t>
  </si>
  <si>
    <t>Mike Williams</t>
  </si>
  <si>
    <t>USC</t>
  </si>
  <si>
    <t>Dallas Cowboys</t>
  </si>
  <si>
    <t>DAL</t>
  </si>
  <si>
    <t>DE</t>
  </si>
  <si>
    <t>San Diego Chargers</t>
  </si>
  <si>
    <t>SD</t>
  </si>
  <si>
    <t>LB</t>
  </si>
  <si>
    <t>Maryland</t>
  </si>
  <si>
    <t>New Orleans Saints</t>
  </si>
  <si>
    <t>NO</t>
  </si>
  <si>
    <t>OT</t>
  </si>
  <si>
    <t>Oklahoma</t>
  </si>
  <si>
    <t>Carolina Panthers</t>
  </si>
  <si>
    <t>CAR</t>
  </si>
  <si>
    <t>Georgia</t>
  </si>
  <si>
    <t>Kansas City Chiefs</t>
  </si>
  <si>
    <t>KC</t>
  </si>
  <si>
    <t>Houston Texans</t>
  </si>
  <si>
    <t>HOU</t>
  </si>
  <si>
    <t>Florida State</t>
  </si>
  <si>
    <t>Cincinnati Bengals</t>
  </si>
  <si>
    <t>CIN</t>
  </si>
  <si>
    <t>Wisconsin</t>
  </si>
  <si>
    <t>St. Louis Rams</t>
  </si>
  <si>
    <t>STL</t>
  </si>
  <si>
    <t>LSU</t>
  </si>
  <si>
    <t>Jacksonville Jaguars</t>
  </si>
  <si>
    <t>JAX</t>
  </si>
  <si>
    <t>Arkansas</t>
  </si>
  <si>
    <t>Baltimore Ravens</t>
  </si>
  <si>
    <t>BAL</t>
  </si>
  <si>
    <t>Oakland Raiders</t>
  </si>
  <si>
    <t>OAK</t>
  </si>
  <si>
    <t>Green Bay Packers</t>
  </si>
  <si>
    <t>GB</t>
  </si>
  <si>
    <t>California</t>
  </si>
  <si>
    <t>Seattle Seahawks</t>
  </si>
  <si>
    <t>SEA</t>
  </si>
  <si>
    <t>Ole Miss</t>
  </si>
  <si>
    <t>Atlanta Falcons</t>
  </si>
  <si>
    <t>ATL</t>
  </si>
  <si>
    <t>DT</t>
  </si>
  <si>
    <t>Northwestern</t>
  </si>
  <si>
    <t>Indianapolis Colts</t>
  </si>
  <si>
    <t>IND</t>
  </si>
  <si>
    <t>Pittsburgh Steelers</t>
  </si>
  <si>
    <t>PIT</t>
  </si>
  <si>
    <t>TE</t>
  </si>
  <si>
    <t>Philadelphia Eagles</t>
  </si>
  <si>
    <t>PHI</t>
  </si>
  <si>
    <t>New England Patriots</t>
  </si>
  <si>
    <t>NE</t>
  </si>
  <si>
    <t>OG</t>
  </si>
  <si>
    <t>NC State</t>
  </si>
  <si>
    <t>New York Jets</t>
  </si>
  <si>
    <t>NYJ</t>
  </si>
  <si>
    <t>Ohio State</t>
  </si>
  <si>
    <t>Buffalo Bills</t>
  </si>
  <si>
    <t>BUF</t>
  </si>
  <si>
    <t>Denver Broncos</t>
  </si>
  <si>
    <t>DEN</t>
  </si>
  <si>
    <t>Oregon</t>
  </si>
  <si>
    <t>Clemson</t>
  </si>
  <si>
    <t>Tennessee</t>
  </si>
  <si>
    <t>Iowa</t>
  </si>
  <si>
    <t>Penn State</t>
  </si>
  <si>
    <t>Minnesota</t>
  </si>
  <si>
    <t>Memphis</t>
  </si>
  <si>
    <t>UCLA</t>
  </si>
  <si>
    <t>Miami</t>
  </si>
  <si>
    <t>New York Giants</t>
  </si>
  <si>
    <t>NYG</t>
  </si>
  <si>
    <t>Boston College</t>
  </si>
  <si>
    <t>Louisville</t>
  </si>
  <si>
    <t>Pittsburgh</t>
  </si>
  <si>
    <t>Florida</t>
  </si>
  <si>
    <t>Notre Dame</t>
  </si>
  <si>
    <t>Purdue</t>
  </si>
  <si>
    <t>OLB</t>
  </si>
  <si>
    <t>CB</t>
  </si>
  <si>
    <t>Boise State</t>
  </si>
  <si>
    <t>Illinois</t>
  </si>
  <si>
    <t>Virginia Tech</t>
  </si>
  <si>
    <t>Arizona</t>
  </si>
  <si>
    <t>North Carolina</t>
  </si>
  <si>
    <t>S</t>
  </si>
  <si>
    <t>Baylor</t>
  </si>
  <si>
    <t>Wake Forest</t>
  </si>
  <si>
    <t>Alabama</t>
  </si>
  <si>
    <t>Texas Tech</t>
  </si>
  <si>
    <t>Northern Illinois</t>
  </si>
  <si>
    <t>Kansas State</t>
  </si>
  <si>
    <t>Missouri</t>
  </si>
  <si>
    <t>Oklahoma State</t>
  </si>
  <si>
    <t>Connecticut</t>
  </si>
  <si>
    <t>ILB</t>
  </si>
  <si>
    <t>TCU</t>
  </si>
  <si>
    <t>Texas A&amp;M</t>
  </si>
  <si>
    <t>Washington</t>
  </si>
  <si>
    <t>Colorado</t>
  </si>
  <si>
    <t>Temple</t>
  </si>
  <si>
    <t>Mississippi State</t>
  </si>
  <si>
    <t>Stanford</t>
  </si>
  <si>
    <t>BYU</t>
  </si>
  <si>
    <t>Houston</t>
  </si>
  <si>
    <t>Jadeveon Clowney</t>
  </si>
  <si>
    <t>CONFIRMED_DRAFT</t>
  </si>
  <si>
    <t>Listed as confirmed/expected prospect attendee for NFL Draft</t>
  </si>
  <si>
    <t>Tier 1</t>
  </si>
  <si>
    <t>High</t>
  </si>
  <si>
    <t>https://www.nfl.com/news/johnny-manziel-leads-record-30-prospects-attending-2014-draft-0ap2000000342941</t>
  </si>
  <si>
    <t>Greg Robinson</t>
  </si>
  <si>
    <t>Blake Bortles</t>
  </si>
  <si>
    <t>UCF</t>
  </si>
  <si>
    <t>Sammy Watkins</t>
  </si>
  <si>
    <t>Khalil Mack</t>
  </si>
  <si>
    <t>Buffalo</t>
  </si>
  <si>
    <t>Jake Matthews</t>
  </si>
  <si>
    <t>Mike Evans</t>
  </si>
  <si>
    <t>Justin Gilbert</t>
  </si>
  <si>
    <t>Anthony Barr</t>
  </si>
  <si>
    <t>NFL.com listed as notable names not making the trip to New York</t>
  </si>
  <si>
    <t>Tier 4</t>
  </si>
  <si>
    <t>Medium</t>
  </si>
  <si>
    <t>Eric Ebron</t>
  </si>
  <si>
    <t>Taylor Lewan</t>
  </si>
  <si>
    <t>Odell Beckham Jr.</t>
  </si>
  <si>
    <t>No strong draft-night attendance signal captured yet</t>
  </si>
  <si>
    <t>Aaron Donald</t>
  </si>
  <si>
    <t>Kyle Fuller</t>
  </si>
  <si>
    <t>Ryan Shazier</t>
  </si>
  <si>
    <t>Zack Martin</t>
  </si>
  <si>
    <t>C.J. Mosley</t>
  </si>
  <si>
    <t>Calvin Pryor</t>
  </si>
  <si>
    <t>Ja'Wuan James</t>
  </si>
  <si>
    <t>Brandin Cooks</t>
  </si>
  <si>
    <t>Oregon State</t>
  </si>
  <si>
    <t>Ha Ha Clinton-Dix</t>
  </si>
  <si>
    <t>Johnny Manziel</t>
  </si>
  <si>
    <t>Dee Ford</t>
  </si>
  <si>
    <t>Darqueze Dennard</t>
  </si>
  <si>
    <t>Michigan State</t>
  </si>
  <si>
    <t>Jason Verrett</t>
  </si>
  <si>
    <t>Marcus Smith</t>
  </si>
  <si>
    <t>Deone Bucannon</t>
  </si>
  <si>
    <t>Washington State</t>
  </si>
  <si>
    <t>Kelvin Benjamin</t>
  </si>
  <si>
    <t>Dominique Easley</t>
  </si>
  <si>
    <t>Jimmie Ward</t>
  </si>
  <si>
    <t>Bradley Roby</t>
  </si>
  <si>
    <t>Teddy Bridgewater</t>
  </si>
  <si>
    <t>Jameis Winston</t>
  </si>
  <si>
    <t>CONFIRMED_HOME_REMOTE</t>
  </si>
  <si>
    <t>NFL.com: said he would probably stay home with family</t>
  </si>
  <si>
    <t>Tier 3</t>
  </si>
  <si>
    <t>https://www.nfl.com/news/leonard-williams-leads-28-prospects-attending-2015-nfl-draft-0ap3000000485349</t>
  </si>
  <si>
    <t>Marcus Mariota</t>
  </si>
  <si>
    <t>NFL.com: intended to celebrate with family in Hawaii</t>
  </si>
  <si>
    <t>Dante Fowler Jr.</t>
  </si>
  <si>
    <t>Amari Cooper</t>
  </si>
  <si>
    <t>Brandon Scherff</t>
  </si>
  <si>
    <t>Leonard Williams</t>
  </si>
  <si>
    <t>Kevin White</t>
  </si>
  <si>
    <t>Vic Beasley</t>
  </si>
  <si>
    <t>Ereck Flowers</t>
  </si>
  <si>
    <t>Todd Gurley</t>
  </si>
  <si>
    <t>Trae Waynes</t>
  </si>
  <si>
    <t>Danny Shelton</t>
  </si>
  <si>
    <t>Andrus Peat</t>
  </si>
  <si>
    <t>DeVante Parker</t>
  </si>
  <si>
    <t>Melvin Gordon</t>
  </si>
  <si>
    <t>Kevin Johnson</t>
  </si>
  <si>
    <t>Arik Armstead</t>
  </si>
  <si>
    <t>Marcus Peters</t>
  </si>
  <si>
    <t>Cameron Erving</t>
  </si>
  <si>
    <t>C</t>
  </si>
  <si>
    <t>Nelson Agholor</t>
  </si>
  <si>
    <t>Cedric Ogbuehi</t>
  </si>
  <si>
    <t>Bud Dupree</t>
  </si>
  <si>
    <t>Kentucky</t>
  </si>
  <si>
    <t>Shane Ray</t>
  </si>
  <si>
    <t>D.J. Humphries</t>
  </si>
  <si>
    <t>Shaq Thompson</t>
  </si>
  <si>
    <t>Breshad Perriman</t>
  </si>
  <si>
    <t>Byron Jones</t>
  </si>
  <si>
    <t>Laken Tomlinson</t>
  </si>
  <si>
    <t>Duke</t>
  </si>
  <si>
    <t>Phillip Dorsett</t>
  </si>
  <si>
    <t>Damarious Randall</t>
  </si>
  <si>
    <t>Arizona State</t>
  </si>
  <si>
    <t>Stephone Anthony</t>
  </si>
  <si>
    <t>Malcom Brown</t>
  </si>
  <si>
    <t>Los Angeles Rams</t>
  </si>
  <si>
    <t>LAR</t>
  </si>
  <si>
    <t>Jared Goff</t>
  </si>
  <si>
    <t>https://www.nfl.com/news/wentz-goff-lead-25-prospects-attending-2016-nfl-draft-0ap3000000652173</t>
  </si>
  <si>
    <t>Carson Wentz</t>
  </si>
  <si>
    <t>North Dakota State</t>
  </si>
  <si>
    <t>Joey Bosa</t>
  </si>
  <si>
    <t>Ezekiel Elliott</t>
  </si>
  <si>
    <t>Jalen Ramsey</t>
  </si>
  <si>
    <t>Ronnie Stanley</t>
  </si>
  <si>
    <t>DeForest Buckner</t>
  </si>
  <si>
    <t>Jack Conklin</t>
  </si>
  <si>
    <t>Leonard Floyd</t>
  </si>
  <si>
    <t>Eli Apple</t>
  </si>
  <si>
    <t>Vernon Hargreaves III</t>
  </si>
  <si>
    <t>Sheldon Rankins</t>
  </si>
  <si>
    <t>Laremy Tunsil</t>
  </si>
  <si>
    <t>Karl Joseph</t>
  </si>
  <si>
    <t>Corey Coleman</t>
  </si>
  <si>
    <t>Taylor Decker</t>
  </si>
  <si>
    <t>Keanu Neal</t>
  </si>
  <si>
    <t>Ryan Kelly</t>
  </si>
  <si>
    <t>Shaq Lawson</t>
  </si>
  <si>
    <t>Darron Lee</t>
  </si>
  <si>
    <t>Will Fuller</t>
  </si>
  <si>
    <t>Josh Doctson</t>
  </si>
  <si>
    <t>Laquon Treadwell</t>
  </si>
  <si>
    <t>William Jackson III</t>
  </si>
  <si>
    <t>Artie Burns</t>
  </si>
  <si>
    <t>Paxton Lynch</t>
  </si>
  <si>
    <t>Kenny Clark</t>
  </si>
  <si>
    <t>Joshua Garnett</t>
  </si>
  <si>
    <t>Robert Nkemdiche</t>
  </si>
  <si>
    <t>Vernon Butler</t>
  </si>
  <si>
    <t>Louisiana Tech</t>
  </si>
  <si>
    <t>Germain Ifedi</t>
  </si>
  <si>
    <t>Myles Garrett</t>
  </si>
  <si>
    <t>NFL.com/Houston Chronicle: intended to stay home and watch with family</t>
  </si>
  <si>
    <t>https://www.nfl.com/news/myles-garrett-doesn-t-intend-to-attend-2017-nfl-draft-0ap3000000785192</t>
  </si>
  <si>
    <t>Mitchell Trubisky</t>
  </si>
  <si>
    <t>Solomon Thomas</t>
  </si>
  <si>
    <t>https://www.bleedinggreennation.com/2017/4/13/15295616/2017-nfl-draft-philadelphia-invites-attending-list-players-prospects-eagles-pick-gareon-conley</t>
  </si>
  <si>
    <t>Leonard Fournette</t>
  </si>
  <si>
    <t>Corey Davis</t>
  </si>
  <si>
    <t>Western Michigan</t>
  </si>
  <si>
    <t>Jamal Adams</t>
  </si>
  <si>
    <t>Los Angeles Chargers</t>
  </si>
  <si>
    <t>LAC</t>
  </si>
  <si>
    <t>Christian McCaffrey</t>
  </si>
  <si>
    <t>John Ross</t>
  </si>
  <si>
    <t>Patrick Mahomes</t>
  </si>
  <si>
    <t>Marshon Lattimore</t>
  </si>
  <si>
    <t>Deshaun Watson</t>
  </si>
  <si>
    <t>Haason Reddick</t>
  </si>
  <si>
    <t>Derek Barnett</t>
  </si>
  <si>
    <t>Malik Hooker</t>
  </si>
  <si>
    <t>Marlon Humphrey</t>
  </si>
  <si>
    <t>Jonathan Allen</t>
  </si>
  <si>
    <t>Adoree' Jackson</t>
  </si>
  <si>
    <t>O.J. Howard</t>
  </si>
  <si>
    <t>Garett Bolles</t>
  </si>
  <si>
    <t>Jarrad Davis</t>
  </si>
  <si>
    <t>Charles Harris</t>
  </si>
  <si>
    <t>Evan Engram</t>
  </si>
  <si>
    <t>Gareon Conley</t>
  </si>
  <si>
    <t>Jabrill Peppers</t>
  </si>
  <si>
    <t>Takkarist McKinley</t>
  </si>
  <si>
    <t>Tre'Davious White</t>
  </si>
  <si>
    <t>Taco Charlton</t>
  </si>
  <si>
    <t>David Njoku</t>
  </si>
  <si>
    <t>T.J. Watt</t>
  </si>
  <si>
    <t>Reuben Foster</t>
  </si>
  <si>
    <t>Ryan Ramczyk</t>
  </si>
  <si>
    <t>Baker Mayfield</t>
  </si>
  <si>
    <t>Reported did not attend the draft</t>
  </si>
  <si>
    <t>https://www.rte.ie/sport/us-sport/2018/0427/958582-mayfield-picked-as-number-one-draft-by-cleveland-browns/</t>
  </si>
  <si>
    <t>Saquon Barkley</t>
  </si>
  <si>
    <t>https://www.nfl.com/news/lamar-jackson-among-22-prospects-attending-2018-nfl-draft-0ap3000000925222</t>
  </si>
  <si>
    <t>Sam Darnold</t>
  </si>
  <si>
    <t>Denzel Ward</t>
  </si>
  <si>
    <t>Bradley Chubb</t>
  </si>
  <si>
    <t>Quenton Nelson</t>
  </si>
  <si>
    <t>Josh Allen</t>
  </si>
  <si>
    <t>Wyoming</t>
  </si>
  <si>
    <t>Roquan Smith</t>
  </si>
  <si>
    <t>Mike McGlinchey</t>
  </si>
  <si>
    <t>Josh Rosen</t>
  </si>
  <si>
    <t>Minkah Fitzpatrick</t>
  </si>
  <si>
    <t>Vita Vea</t>
  </si>
  <si>
    <t>Da'Ron Payne</t>
  </si>
  <si>
    <t>Marcus Davenport</t>
  </si>
  <si>
    <t>UT San Antonio</t>
  </si>
  <si>
    <t>Kolton Miller</t>
  </si>
  <si>
    <t>Tremaine Edmunds</t>
  </si>
  <si>
    <t>Derwin James</t>
  </si>
  <si>
    <t>Jaire Alexander</t>
  </si>
  <si>
    <t>Leighton Vander Esch</t>
  </si>
  <si>
    <t>Frank Ragnow</t>
  </si>
  <si>
    <t>Billy Price</t>
  </si>
  <si>
    <t>Rashaan Evans</t>
  </si>
  <si>
    <t>Isaiah Wynn</t>
  </si>
  <si>
    <t>D.J. Moore</t>
  </si>
  <si>
    <t>Hayden Hurst</t>
  </si>
  <si>
    <t>Calvin Ridley</t>
  </si>
  <si>
    <t>Rashaad Penny</t>
  </si>
  <si>
    <t>San Diego State</t>
  </si>
  <si>
    <t>Terrell Edmunds</t>
  </si>
  <si>
    <t>Taven Bryan</t>
  </si>
  <si>
    <t>Mike Hughes</t>
  </si>
  <si>
    <t>Sony Michel</t>
  </si>
  <si>
    <t>Lamar Jackson</t>
  </si>
  <si>
    <t>Kyler Murray</t>
  </si>
  <si>
    <t>https://bleacherreport.com/articles/2830469-2019-nfl-draft-kyler-murray-headlines-complete-list-of-expected-attendees</t>
  </si>
  <si>
    <t>Nick Bosa</t>
  </si>
  <si>
    <t>Quinnen Williams</t>
  </si>
  <si>
    <t>Clelin Ferrell</t>
  </si>
  <si>
    <t>Devin White</t>
  </si>
  <si>
    <t>Daniel Jones</t>
  </si>
  <si>
    <t>T.J. Hockenson</t>
  </si>
  <si>
    <t>Ed Oliver</t>
  </si>
  <si>
    <t>Devin Bush</t>
  </si>
  <si>
    <t>Jonah Williams</t>
  </si>
  <si>
    <t>Rashan Gary</t>
  </si>
  <si>
    <t>Christian Wilkins</t>
  </si>
  <si>
    <t>Chris Lindstrom</t>
  </si>
  <si>
    <t>Brian Burns</t>
  </si>
  <si>
    <t>Dexter Lawrence</t>
  </si>
  <si>
    <t>Garrett Bradbury</t>
  </si>
  <si>
    <t>Jeffery Simmons</t>
  </si>
  <si>
    <t>Noah Fant</t>
  </si>
  <si>
    <t>Darnell Savage Jr.</t>
  </si>
  <si>
    <t>Andre Dillard</t>
  </si>
  <si>
    <t>Tytus Howard</t>
  </si>
  <si>
    <t>Alabama State</t>
  </si>
  <si>
    <t>Josh Jacobs</t>
  </si>
  <si>
    <t>Marquise Brown</t>
  </si>
  <si>
    <t>Montez Sweat</t>
  </si>
  <si>
    <t>Johnathan Abram</t>
  </si>
  <si>
    <t>Jerry Tillery</t>
  </si>
  <si>
    <t>L.J. Collier</t>
  </si>
  <si>
    <t>Deandre Baker</t>
  </si>
  <si>
    <t>Kaleb McGary</t>
  </si>
  <si>
    <t>N'Keal Harry</t>
  </si>
  <si>
    <t>Joe Burrow</t>
  </si>
  <si>
    <t>2020 NFL Draft was virtual due to COVID-19</t>
  </si>
  <si>
    <t>Tier 2</t>
  </si>
  <si>
    <t>https://www.espn.com/nfl/story/_/id/29001770/nfl-confirms-virtual-draft-team-personnel-homes</t>
  </si>
  <si>
    <t>Chase Young</t>
  </si>
  <si>
    <t>Jeff Okudah</t>
  </si>
  <si>
    <t>Andrew Thomas</t>
  </si>
  <si>
    <t>Tua Tagovailoa</t>
  </si>
  <si>
    <t>Justin Herbert</t>
  </si>
  <si>
    <t>Derrick Brown</t>
  </si>
  <si>
    <t>Isaiah Simmons</t>
  </si>
  <si>
    <t>CJ Henderson</t>
  </si>
  <si>
    <t>Jedrick Wills Jr.</t>
  </si>
  <si>
    <t>Mekhi Becton</t>
  </si>
  <si>
    <t>Las Vegas Raiders</t>
  </si>
  <si>
    <t>LV</t>
  </si>
  <si>
    <t>Henry Ruggs III</t>
  </si>
  <si>
    <t>Tristan Wirfs</t>
  </si>
  <si>
    <t>Javon Kinlaw</t>
  </si>
  <si>
    <t>Jerry Jeudy</t>
  </si>
  <si>
    <t>A.J. Terrell</t>
  </si>
  <si>
    <t>CeeDee Lamb</t>
  </si>
  <si>
    <t>Austin Jackson</t>
  </si>
  <si>
    <t>Damon Arnette</t>
  </si>
  <si>
    <t>K'Lavon Chaisson</t>
  </si>
  <si>
    <t>Jalen Reagor</t>
  </si>
  <si>
    <t>Justin Jefferson</t>
  </si>
  <si>
    <t>Kenneth Murray</t>
  </si>
  <si>
    <t>Cesar Ruiz</t>
  </si>
  <si>
    <t>Brandon Aiyuk</t>
  </si>
  <si>
    <t>Jordan Love</t>
  </si>
  <si>
    <t>Utah State</t>
  </si>
  <si>
    <t>Jordyn Brooks</t>
  </si>
  <si>
    <t>Patrick Queen</t>
  </si>
  <si>
    <t>Isaiah Wilson</t>
  </si>
  <si>
    <t>Noah Igbinoghene</t>
  </si>
  <si>
    <t>Clyde Edwards-Helaire</t>
  </si>
  <si>
    <t>Trevor Lawrence</t>
  </si>
  <si>
    <t>CBS reported he would watch with friends and family at Clemson</t>
  </si>
  <si>
    <t>https://www.cbssports.com/nfl/news/nfl-draft-2021-zach-wilson-trey-lance-mac-jones-among-the-13-players-who-will-attend-draft/</t>
  </si>
  <si>
    <t>Zach Wilson</t>
  </si>
  <si>
    <t>Trey Lance</t>
  </si>
  <si>
    <t>Kyle Pitts</t>
  </si>
  <si>
    <t>Ja'Marr Chase</t>
  </si>
  <si>
    <t>Jaylen Waddle</t>
  </si>
  <si>
    <t>Penei Sewell</t>
  </si>
  <si>
    <t>CBS reported virtual participation</t>
  </si>
  <si>
    <t>Jaycee Horn</t>
  </si>
  <si>
    <t>Pat Surtain II</t>
  </si>
  <si>
    <t>DeVonta Smith</t>
  </si>
  <si>
    <t>Justin Fields</t>
  </si>
  <si>
    <t>Micah Parsons</t>
  </si>
  <si>
    <t>Rashawn Slater</t>
  </si>
  <si>
    <t>Alijah Vera-Tucker</t>
  </si>
  <si>
    <t>Mac Jones</t>
  </si>
  <si>
    <t>Zaven Collins</t>
  </si>
  <si>
    <t>Tulsa</t>
  </si>
  <si>
    <t>Alex Leatherwood</t>
  </si>
  <si>
    <t>Jaelan Phillips</t>
  </si>
  <si>
    <t>Jamin Davis</t>
  </si>
  <si>
    <t>Kadarius Toney</t>
  </si>
  <si>
    <t>Kwity Paye</t>
  </si>
  <si>
    <t>Caleb Farley</t>
  </si>
  <si>
    <t>Christian Darrisaw</t>
  </si>
  <si>
    <t>Najee Harris</t>
  </si>
  <si>
    <t>Travis Etienne</t>
  </si>
  <si>
    <t>Greg Newsome II</t>
  </si>
  <si>
    <t>Rashod Bateman</t>
  </si>
  <si>
    <t>Payton Turner</t>
  </si>
  <si>
    <t>Eric Stokes</t>
  </si>
  <si>
    <t>Gregory Rousseau</t>
  </si>
  <si>
    <t>Odafe Oweh</t>
  </si>
  <si>
    <t>Joe Tryon</t>
  </si>
  <si>
    <t>Travon Walker</t>
  </si>
  <si>
    <t>EDGE</t>
  </si>
  <si>
    <t>https://raw.githubusercontent.com/nflverse/nfldata/master/data/draft_picks.csv</t>
  </si>
  <si>
    <t>Aidan Hutchinson</t>
  </si>
  <si>
    <t>https://www.nfl.com/news/malik-willis-aidan-hutchinson-kayvon-thibodeaux-among-21-prospects-who-ll-attend</t>
  </si>
  <si>
    <t>Derek Stingley Jr.</t>
  </si>
  <si>
    <t>Sauce Gardner</t>
  </si>
  <si>
    <t>Cincinnati</t>
  </si>
  <si>
    <t>Kayvon Thibodeaux</t>
  </si>
  <si>
    <t>Ikem Ekwonu</t>
  </si>
  <si>
    <t>Evan Neal</t>
  </si>
  <si>
    <t>Drake London</t>
  </si>
  <si>
    <t>Charles Cross</t>
  </si>
  <si>
    <t>Garrett Wilson</t>
  </si>
  <si>
    <t>Chris Olave</t>
  </si>
  <si>
    <t>Jameson Williams</t>
  </si>
  <si>
    <t>Jordan Davis</t>
  </si>
  <si>
    <t>Kyle Hamilton</t>
  </si>
  <si>
    <t>Kenyon Green</t>
  </si>
  <si>
    <t>Washington Commanders</t>
  </si>
  <si>
    <t>Jahan Dotson</t>
  </si>
  <si>
    <t>Zion Johnson</t>
  </si>
  <si>
    <t>Treylon Burks</t>
  </si>
  <si>
    <t>Trevor Penning</t>
  </si>
  <si>
    <t>Northern Iowa</t>
  </si>
  <si>
    <t>Kenny Pickett</t>
  </si>
  <si>
    <t>Trent McDuffie</t>
  </si>
  <si>
    <t>Quay Walker</t>
  </si>
  <si>
    <t>Kaiir Elam</t>
  </si>
  <si>
    <t>Tyler Smith</t>
  </si>
  <si>
    <t>Tyler Linderbaum</t>
  </si>
  <si>
    <t>Jermaine Johnson II</t>
  </si>
  <si>
    <t>Devin Lloyd</t>
  </si>
  <si>
    <t>Devonte Wyatt</t>
  </si>
  <si>
    <t>Cole Strange</t>
  </si>
  <si>
    <t>Chattanooga</t>
  </si>
  <si>
    <t>George Karlaftis</t>
  </si>
  <si>
    <t>Daxton Hill</t>
  </si>
  <si>
    <t>Lewis Cine</t>
  </si>
  <si>
    <t>Bryce Young</t>
  </si>
  <si>
    <t>https://operations.nfl.com/updates/the-players/17-prospects-to-attend-2023-nfl-draft/</t>
  </si>
  <si>
    <t>C.J. Stroud</t>
  </si>
  <si>
    <t>Will Anderson Jr.</t>
  </si>
  <si>
    <t>EDGE/LB</t>
  </si>
  <si>
    <t>Anthony Richardson</t>
  </si>
  <si>
    <t>Devon Witherspoon</t>
  </si>
  <si>
    <t>Paris Johnson Jr.</t>
  </si>
  <si>
    <t>Tyree Wilson</t>
  </si>
  <si>
    <t>Bijan Robinson</t>
  </si>
  <si>
    <t>Jalen Carter</t>
  </si>
  <si>
    <t>Darnell Wright</t>
  </si>
  <si>
    <t>Peter Skoronski</t>
  </si>
  <si>
    <t>OL</t>
  </si>
  <si>
    <t>Jahmyr Gibbs</t>
  </si>
  <si>
    <t>Lukas Van Ness</t>
  </si>
  <si>
    <t>Broderick Jones</t>
  </si>
  <si>
    <t>Will McDonald IV</t>
  </si>
  <si>
    <t>Iowa State</t>
  </si>
  <si>
    <t>Emmanuel Forbes</t>
  </si>
  <si>
    <t>Christian Gonzalez</t>
  </si>
  <si>
    <t>Jack Campbell</t>
  </si>
  <si>
    <t>Calijah Kancey</t>
  </si>
  <si>
    <t>Jaxon Smith-Njigba</t>
  </si>
  <si>
    <t>Quentin Johnston</t>
  </si>
  <si>
    <t>Reported not invited and planned Dallas draft party</t>
  </si>
  <si>
    <t>https://www.cbssports.com/nfl/news/2023-nfl-draft-why-quentin-johnston-isnt-on-attendees-list-where-league-indicated-hes-likely-to-be-picked/</t>
  </si>
  <si>
    <t>Zay Flowers</t>
  </si>
  <si>
    <t>Jordan Addison</t>
  </si>
  <si>
    <t>Deonte Banks</t>
  </si>
  <si>
    <t>Dalton Kincaid</t>
  </si>
  <si>
    <t>Mazi Smith</t>
  </si>
  <si>
    <t>Anton Harrison</t>
  </si>
  <si>
    <t>Myles Murphy</t>
  </si>
  <si>
    <t>Bryan Bresee</t>
  </si>
  <si>
    <t>Nolan Smith</t>
  </si>
  <si>
    <t>Felix Anudike-Uzomah</t>
  </si>
  <si>
    <t>Caleb Williams</t>
  </si>
  <si>
    <t>https://www.nfl.com/news/qbs-caleb-williams-drake-maye-jayden-daniels-among-13-prospects-attending-2024-nfl-draft</t>
  </si>
  <si>
    <t>Jayden Daniels</t>
  </si>
  <si>
    <t>Drake Maye</t>
  </si>
  <si>
    <t>Marvin Harrison Jr.</t>
  </si>
  <si>
    <t>Joe Alt</t>
  </si>
  <si>
    <t>Malik Nabers</t>
  </si>
  <si>
    <t>JC Latham</t>
  </si>
  <si>
    <t>Michael Penix Jr.</t>
  </si>
  <si>
    <t>Rome Odunze</t>
  </si>
  <si>
    <t>J.J. McCarthy</t>
  </si>
  <si>
    <t>Olu Fashanu</t>
  </si>
  <si>
    <t>Bo Nix</t>
  </si>
  <si>
    <t>Brock Bowers</t>
  </si>
  <si>
    <t>Taliese Fuaga</t>
  </si>
  <si>
    <t>Laiatu Latu</t>
  </si>
  <si>
    <t>Byron Murphy II</t>
  </si>
  <si>
    <t>Dallas Turner</t>
  </si>
  <si>
    <t>Amarius Mims</t>
  </si>
  <si>
    <t>Jared Verse</t>
  </si>
  <si>
    <t>Troy Fautanu</t>
  </si>
  <si>
    <t>Chop Robinson</t>
  </si>
  <si>
    <t>Quinyon Mitchell</t>
  </si>
  <si>
    <t>Toledo</t>
  </si>
  <si>
    <t>Brian Thomas Jr.</t>
  </si>
  <si>
    <t>Terrion Arnold</t>
  </si>
  <si>
    <t>Jordan Morgan</t>
  </si>
  <si>
    <t>Graham Barton</t>
  </si>
  <si>
    <t>Darius Robinson</t>
  </si>
  <si>
    <t>DL</t>
  </si>
  <si>
    <t>Xavier Worthy</t>
  </si>
  <si>
    <t>Tyler Guyton</t>
  </si>
  <si>
    <t>Nate Wiggins</t>
  </si>
  <si>
    <t>Ricky Pearsall</t>
  </si>
  <si>
    <t>Xavier Legette</t>
  </si>
  <si>
    <t>Cam Ward</t>
  </si>
  <si>
    <t>https://www.nfl.com/news/travis-hunter-cam-ward-among-prospects-attending-2025-nfl-draft</t>
  </si>
  <si>
    <t>https://www.espn.com/nfl/draft/rounds/_/season/2025</t>
  </si>
  <si>
    <t>Travis Hunter</t>
  </si>
  <si>
    <t>CB/WR</t>
  </si>
  <si>
    <t>Abdul Carter</t>
  </si>
  <si>
    <t>Will Campbell</t>
  </si>
  <si>
    <t>Mason Graham</t>
  </si>
  <si>
    <t>Ashton Jeanty</t>
  </si>
  <si>
    <t>Armand Membou</t>
  </si>
  <si>
    <t>Tetairoa McMillan</t>
  </si>
  <si>
    <t>Kelvin Banks Jr.</t>
  </si>
  <si>
    <t>Colston Loveland</t>
  </si>
  <si>
    <t>Mykel Williams</t>
  </si>
  <si>
    <t>Tyler Booker</t>
  </si>
  <si>
    <t>Kenneth Grant</t>
  </si>
  <si>
    <t>Tyler Warren</t>
  </si>
  <si>
    <t>Jalon Walker</t>
  </si>
  <si>
    <t>Walter Nolen</t>
  </si>
  <si>
    <t>Shemar Stewart</t>
  </si>
  <si>
    <t>Grey Zabel</t>
  </si>
  <si>
    <t>Emeka Egbuka</t>
  </si>
  <si>
    <t>Jahdae Barron</t>
  </si>
  <si>
    <t>Derrick Harmon</t>
  </si>
  <si>
    <t>Omarion Hampton</t>
  </si>
  <si>
    <t>Matthew Golden</t>
  </si>
  <si>
    <t>Donovan Jackson</t>
  </si>
  <si>
    <t>Jaxson Dart</t>
  </si>
  <si>
    <t>James Pearce Jr.</t>
  </si>
  <si>
    <t>Malaki Starks</t>
  </si>
  <si>
    <t>Tyleik Williams</t>
  </si>
  <si>
    <t>Josh Conerly Jr.</t>
  </si>
  <si>
    <t>Maxwell Hairston</t>
  </si>
  <si>
    <t>Jihaad Campbell</t>
  </si>
  <si>
    <t>Josh Simmons</t>
  </si>
  <si>
    <t>Sum</t>
  </si>
  <si>
    <t>Average</t>
  </si>
  <si>
    <t>Running Total</t>
  </si>
  <si>
    <t>Count</t>
  </si>
  <si>
    <t>HOME</t>
  </si>
  <si>
    <t>Cross Reference TRUE/FALSE</t>
  </si>
  <si>
    <t>Difference</t>
  </si>
  <si>
    <t>NEW RATING2</t>
  </si>
  <si>
    <t>AT DRAFT</t>
  </si>
  <si>
    <t>Top 10</t>
  </si>
  <si>
    <t>Top 20</t>
  </si>
  <si>
    <t>ALL</t>
  </si>
  <si>
    <t>Splits</t>
  </si>
  <si>
    <t>0-10</t>
  </si>
  <si>
    <t>21-32</t>
  </si>
  <si>
    <t>11-20</t>
  </si>
  <si>
    <t>Round</t>
  </si>
  <si>
    <t>Rate</t>
  </si>
  <si>
    <t>POS</t>
  </si>
  <si>
    <t>ATTEND?</t>
  </si>
  <si>
    <t>AI RATE</t>
  </si>
  <si>
    <t>Rating*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</si>
</sst>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0" borderId="0" xfId="0" applyBorder="1"/>
    <xf numFmtId="0" fontId="19" fillId="0" borderId="11" xfId="0" applyFont="1" applyBorder="1"/>
    <xf numFmtId="0" fontId="20" fillId="0" borderId="0" xfId="0" applyFont="1" applyBorder="1"/>
    <xf numFmtId="2" fontId="20" fillId="0" borderId="0" xfId="0" applyNumberFormat="1" applyFont="1" applyBorder="1"/>
    <xf numFmtId="2" fontId="20" fillId="0" borderId="12" xfId="0" applyNumberFormat="1" applyFont="1" applyBorder="1"/>
    <xf numFmtId="0" fontId="19" fillId="0" borderId="13" xfId="0" applyFont="1" applyBorder="1"/>
    <xf numFmtId="2" fontId="20" fillId="0" borderId="14" xfId="0" applyNumberFormat="1" applyFont="1" applyBorder="1"/>
    <xf numFmtId="0" fontId="20" fillId="0" borderId="15" xfId="0" applyFont="1" applyBorder="1"/>
    <xf numFmtId="2" fontId="20" fillId="0" borderId="16" xfId="0" applyNumberFormat="1" applyFont="1" applyBorder="1"/>
    <xf numFmtId="2" fontId="20" fillId="0" borderId="17" xfId="0" applyNumberFormat="1" applyFont="1" applyBorder="1"/>
    <xf numFmtId="0" fontId="20" fillId="0" borderId="18" xfId="0" applyFont="1" applyBorder="1"/>
    <xf numFmtId="2" fontId="20" fillId="0" borderId="19" xfId="0" applyNumberFormat="1" applyFont="1" applyBorder="1"/>
    <xf numFmtId="0" fontId="20" fillId="0" borderId="18" xfId="0" quotePrefix="1" applyFont="1" applyBorder="1"/>
    <xf numFmtId="16" fontId="20" fillId="0" borderId="18" xfId="0" quotePrefix="1" applyNumberFormat="1" applyFont="1" applyBorder="1"/>
    <xf numFmtId="16" fontId="20" fillId="0" borderId="20" xfId="0" quotePrefix="1" applyNumberFormat="1" applyFont="1" applyBorder="1"/>
    <xf numFmtId="2" fontId="20" fillId="0" borderId="21" xfId="0" applyNumberFormat="1" applyFont="1" applyBorder="1"/>
    <xf numFmtId="2" fontId="20" fillId="0" borderId="22" xfId="0" applyNumberFormat="1" applyFont="1" applyBorder="1"/>
    <xf numFmtId="0" fontId="20" fillId="0" borderId="2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FA918-4ADF-4AAC-B30E-58FCDFF97465}" name="Table1" displayName="Table1" ref="A1:T381" totalsRowShown="0">
  <autoFilter ref="A1:T381" xr:uid="{A11FA918-4ADF-4AAC-B30E-58FCDFF97465}"/>
  <tableColumns count="20">
    <tableColumn id="1" xr3:uid="{C3C0DA3F-7E36-4E4D-A3EA-1480E3929779}" name="Year"/>
    <tableColumn id="2" xr3:uid="{1234E98D-DCF8-4DAD-B2BF-C298670F706D}" name="Pick"/>
    <tableColumn id="3" xr3:uid="{5D8AB283-D783-4B80-8DDA-C36216C3E907}" name="Round"/>
    <tableColumn id="4" xr3:uid="{2A69B0ED-D1E5-4637-BE5A-A12E6D2B7D1A}" name="Team"/>
    <tableColumn id="5" xr3:uid="{F201F95E-7232-47B6-9FEE-498B4737CFBF}" name="Team_Abbr"/>
    <tableColumn id="6" xr3:uid="{5953A617-7BBD-4F97-8E32-305742D7571E}" name="Player"/>
    <tableColumn id="15" xr3:uid="{8A27041E-270A-4141-9C63-63966CB89B6E}" name="Rate"/>
    <tableColumn id="7" xr3:uid="{3BD0E429-1E2C-4D6C-83AE-697BC42FCD85}" name="POS"/>
    <tableColumn id="8" xr3:uid="{1C2F9246-EF5A-41B9-9742-EFE39D656E55}" name="School"/>
    <tableColumn id="9" xr3:uid="{7393CEAE-3E23-4B7A-B270-6F968D3EAB32}" name="ATTEND?"/>
    <tableColumn id="10" xr3:uid="{9667AF77-1D9B-4A24-9944-CE6EB3C16783}" name="Evidence"/>
    <tableColumn id="11" xr3:uid="{B380F835-C2E7-428F-9C43-6EB5BF8D06A2}" name="Evidence_Tier"/>
    <tableColumn id="12" xr3:uid="{BA41F61C-7F4E-4399-85FF-DE0869ED90E5}" name="Confidence"/>
    <tableColumn id="13" xr3:uid="{99D9BF7B-9760-40DC-92B2-C9CBFC3D0595}" name="Attendance_Source_URL"/>
    <tableColumn id="41" xr3:uid="{FEF5CAA7-34E5-45A6-A45D-EC895975F2C7}" name="AI RATE"/>
    <tableColumn id="14" xr3:uid="{FAA68DAF-49FF-4853-A927-E85F7912321D}" name="Draft_Pick_Source_URL"/>
    <tableColumn id="42" xr3:uid="{2640520E-2B31-40D5-A733-E62F00DDD532}" name="Difference" dataDxfId="28">
      <calculatedColumnFormula>ABS(Table1[[#This Row],[Rate]]-Table1[[#This Row],[AI RATE]])</calculatedColumnFormula>
    </tableColumn>
    <tableColumn id="44" xr3:uid="{004A8469-8357-4205-AC4B-1C756E442C3F}" name="Rating*" dataDxfId="27">
      <calculatedColumnFormula>IF(Table1[[#This Row],[NEW RATING2]]&gt;0, Table1[[#This Row],[NEW RATING2]],Table1[[#This Row],[Rate]])</calculatedColumnFormula>
    </tableColumn>
    <tableColumn id="40" xr3:uid="{43CCD91C-1832-407E-A4CA-46BBF1B5280F}" name="Cross Reference TRUE/FALSE" dataDxfId="29"/>
    <tableColumn id="45" xr3:uid="{E83B8146-4132-4DEB-9295-F74C7ACE089A}" name="NEW RATING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AF9F-72BE-4499-B7A7-63098D3F9342}">
  <dimension ref="A1:X391"/>
  <sheetViews>
    <sheetView tabSelected="1" zoomScaleNormal="100" workbookViewId="0">
      <selection activeCell="Z6" sqref="Z6"/>
    </sheetView>
  </sheetViews>
  <sheetFormatPr defaultRowHeight="14.5" x14ac:dyDescent="0.35"/>
  <cols>
    <col min="3" max="3" width="9.1796875" customWidth="1"/>
    <col min="4" max="4" width="16.90625" customWidth="1"/>
    <col min="5" max="5" width="12.08984375" hidden="1" customWidth="1"/>
    <col min="6" max="6" width="17" customWidth="1"/>
    <col min="7" max="7" width="7.453125" hidden="1" customWidth="1"/>
    <col min="8" max="8" width="6.26953125" customWidth="1"/>
    <col min="9" max="9" width="0" hidden="1" customWidth="1"/>
    <col min="10" max="10" width="11" customWidth="1"/>
    <col min="11" max="11" width="10.453125" hidden="1" customWidth="1"/>
    <col min="12" max="12" width="14.36328125" hidden="1" customWidth="1"/>
    <col min="13" max="13" width="12.54296875" hidden="1" customWidth="1"/>
    <col min="14" max="14" width="23.26953125" hidden="1" customWidth="1"/>
    <col min="15" max="15" width="9" hidden="1" customWidth="1"/>
    <col min="16" max="16" width="22.26953125" hidden="1" customWidth="1"/>
    <col min="17" max="17" width="2.36328125" hidden="1" customWidth="1"/>
    <col min="18" max="18" width="9.36328125" customWidth="1"/>
    <col min="19" max="19" width="0" hidden="1" customWidth="1"/>
    <col min="20" max="20" width="22.26953125" hidden="1" customWidth="1"/>
    <col min="23" max="23" width="11.90625" customWidth="1"/>
    <col min="24" max="24" width="13.1796875" customWidth="1"/>
  </cols>
  <sheetData>
    <row r="1" spans="1:24" ht="15" thickBot="1" x14ac:dyDescent="0.4">
      <c r="A1" t="s">
        <v>0</v>
      </c>
      <c r="B1" t="s">
        <v>1</v>
      </c>
      <c r="C1" t="s">
        <v>615</v>
      </c>
      <c r="D1" t="s">
        <v>2</v>
      </c>
      <c r="E1" t="s">
        <v>3</v>
      </c>
      <c r="F1" t="s">
        <v>4</v>
      </c>
      <c r="G1" t="s">
        <v>616</v>
      </c>
      <c r="H1" t="s">
        <v>617</v>
      </c>
      <c r="I1" t="s">
        <v>5</v>
      </c>
      <c r="J1" t="s">
        <v>618</v>
      </c>
      <c r="K1" t="s">
        <v>6</v>
      </c>
      <c r="L1" t="s">
        <v>7</v>
      </c>
      <c r="M1" t="s">
        <v>8</v>
      </c>
      <c r="N1" t="s">
        <v>9</v>
      </c>
      <c r="O1" t="s">
        <v>619</v>
      </c>
      <c r="P1" t="s">
        <v>10</v>
      </c>
      <c r="Q1" t="s">
        <v>605</v>
      </c>
      <c r="R1" t="s">
        <v>620</v>
      </c>
      <c r="S1" t="s">
        <v>604</v>
      </c>
      <c r="T1" t="s">
        <v>606</v>
      </c>
    </row>
    <row r="2" spans="1:24" ht="20" thickBot="1" x14ac:dyDescent="0.5">
      <c r="A2">
        <v>2014</v>
      </c>
      <c r="B2">
        <v>1</v>
      </c>
      <c r="C2">
        <v>1</v>
      </c>
      <c r="D2" t="s">
        <v>62</v>
      </c>
      <c r="E2" t="s">
        <v>63</v>
      </c>
      <c r="F2" t="s">
        <v>150</v>
      </c>
      <c r="G2">
        <v>4</v>
      </c>
      <c r="H2" t="s">
        <v>48</v>
      </c>
      <c r="I2" t="s">
        <v>37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>
        <v>4</v>
      </c>
      <c r="P2" t="s">
        <v>18</v>
      </c>
      <c r="Q2">
        <f>ABS(Table1[[#This Row],[Rate]]-Table1[[#This Row],[AI RATE]])</f>
        <v>0</v>
      </c>
      <c r="R2">
        <f>IF(Table1[[#This Row],[NEW RATING2]]&gt;0, Table1[[#This Row],[NEW RATING2]],Table1[[#This Row],[Rate]])</f>
        <v>4</v>
      </c>
      <c r="S2">
        <f>IF(Table1[[#This Row],[Rate]] =Table1[[#This Row],[AI RATE]],1, 0)</f>
        <v>1</v>
      </c>
      <c r="V2" s="1"/>
      <c r="W2" s="3" t="s">
        <v>603</v>
      </c>
      <c r="X2" s="7" t="s">
        <v>607</v>
      </c>
    </row>
    <row r="3" spans="1:24" ht="17" x14ac:dyDescent="0.4">
      <c r="A3">
        <v>2014</v>
      </c>
      <c r="B3">
        <v>2</v>
      </c>
      <c r="C3">
        <v>2</v>
      </c>
      <c r="D3" t="s">
        <v>68</v>
      </c>
      <c r="E3" t="s">
        <v>69</v>
      </c>
      <c r="F3" t="s">
        <v>156</v>
      </c>
      <c r="G3">
        <v>4</v>
      </c>
      <c r="H3" t="s">
        <v>55</v>
      </c>
      <c r="I3" t="s">
        <v>22</v>
      </c>
      <c r="J3" t="s">
        <v>151</v>
      </c>
      <c r="K3" t="s">
        <v>152</v>
      </c>
      <c r="L3" t="s">
        <v>153</v>
      </c>
      <c r="M3" t="s">
        <v>154</v>
      </c>
      <c r="N3" t="s">
        <v>155</v>
      </c>
      <c r="O3">
        <v>1</v>
      </c>
      <c r="P3" t="s">
        <v>18</v>
      </c>
      <c r="Q3">
        <f>ABS(Table1[[#This Row],[Rate]]-Table1[[#This Row],[AI RATE]])</f>
        <v>3</v>
      </c>
      <c r="R3">
        <f>IF(Table1[[#This Row],[NEW RATING2]]&gt;0, Table1[[#This Row],[NEW RATING2]],Table1[[#This Row],[Rate]])</f>
        <v>1</v>
      </c>
      <c r="S3">
        <f>IF(Table1[[#This Row],[Rate]] =Table1[[#This Row],[AI RATE]],1, 0)</f>
        <v>0</v>
      </c>
      <c r="T3">
        <v>1</v>
      </c>
      <c r="V3" s="9" t="s">
        <v>608</v>
      </c>
      <c r="W3" s="10">
        <f>AVERAGEIFS(Table1[Rating*], Table1[Pick], "&lt;11", Table1[ATTEND?], "HOME")</f>
        <v>3.6774193548387095</v>
      </c>
      <c r="X3" s="11">
        <f>AVERAGEIFS(Table1[Rating*], Table1[Pick], "&lt;11", Table1[ATTEND?], "CONFIRMED_DRAFT")</f>
        <v>3.6329113924050631</v>
      </c>
    </row>
    <row r="4" spans="1:24" ht="17" x14ac:dyDescent="0.4">
      <c r="A4">
        <v>2014</v>
      </c>
      <c r="B4">
        <v>3</v>
      </c>
      <c r="C4">
        <v>3</v>
      </c>
      <c r="D4" t="s">
        <v>71</v>
      </c>
      <c r="E4" t="s">
        <v>72</v>
      </c>
      <c r="F4" t="s">
        <v>157</v>
      </c>
      <c r="G4">
        <v>3</v>
      </c>
      <c r="H4" t="s">
        <v>14</v>
      </c>
      <c r="I4" t="s">
        <v>158</v>
      </c>
      <c r="J4" t="s">
        <v>151</v>
      </c>
      <c r="K4" t="s">
        <v>152</v>
      </c>
      <c r="L4" t="s">
        <v>153</v>
      </c>
      <c r="M4" t="s">
        <v>154</v>
      </c>
      <c r="N4" t="s">
        <v>155</v>
      </c>
      <c r="O4">
        <v>2</v>
      </c>
      <c r="P4" t="s">
        <v>18</v>
      </c>
      <c r="Q4">
        <f>ABS(Table1[[#This Row],[Rate]]-Table1[[#This Row],[AI RATE]])</f>
        <v>1</v>
      </c>
      <c r="R4">
        <f>IF(Table1[[#This Row],[NEW RATING2]]&gt;0, Table1[[#This Row],[NEW RATING2]],Table1[[#This Row],[Rate]])</f>
        <v>3</v>
      </c>
      <c r="S4">
        <f>IF(Table1[[#This Row],[Rate]] =Table1[[#This Row],[AI RATE]],1, 0)</f>
        <v>0</v>
      </c>
      <c r="V4" s="12" t="s">
        <v>609</v>
      </c>
      <c r="W4" s="8">
        <f>AVERAGEIFS(Table1[Rating*], Table1[Pick], "&lt;21", Table1[ATTEND?], "HOME")</f>
        <v>3.367816091954023</v>
      </c>
      <c r="X4" s="13">
        <f>AVERAGEIFS(Table1[Rating*], Table1[Pick], "&lt;21", Table1[ATTEND?], "CONFIRMED_DRAFT")</f>
        <v>3.5909090909090908</v>
      </c>
    </row>
    <row r="5" spans="1:24" ht="17.5" thickBot="1" x14ac:dyDescent="0.45">
      <c r="A5">
        <v>2014</v>
      </c>
      <c r="B5">
        <v>4</v>
      </c>
      <c r="C5">
        <v>4</v>
      </c>
      <c r="D5" t="s">
        <v>102</v>
      </c>
      <c r="E5" t="s">
        <v>103</v>
      </c>
      <c r="F5" t="s">
        <v>159</v>
      </c>
      <c r="G5">
        <v>4</v>
      </c>
      <c r="H5" t="s">
        <v>25</v>
      </c>
      <c r="I5" t="s">
        <v>107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>
        <v>3</v>
      </c>
      <c r="P5" t="s">
        <v>18</v>
      </c>
      <c r="Q5">
        <f>ABS(Table1[[#This Row],[Rate]]-Table1[[#This Row],[AI RATE]])</f>
        <v>1</v>
      </c>
      <c r="R5">
        <f>IF(Table1[[#This Row],[NEW RATING2]]&gt;0, Table1[[#This Row],[NEW RATING2]],Table1[[#This Row],[Rate]])</f>
        <v>4</v>
      </c>
      <c r="S5">
        <f>IF(Table1[[#This Row],[Rate]] =Table1[[#This Row],[AI RATE]],1, 0)</f>
        <v>0</v>
      </c>
      <c r="V5" s="19" t="s">
        <v>610</v>
      </c>
      <c r="W5" s="17">
        <f>AVERAGEIFS(Table1[Rating*], Table1[Pick],"&lt;33", Table1[ATTEND?], "HOME")</f>
        <v>3.0057471264367814</v>
      </c>
      <c r="X5" s="18">
        <f>AVERAGEIFS(Table1[Rating*], Table1[Pick], "&lt;33", Table1[ATTEND?], "CONFIRMED_DRAFT")</f>
        <v>3.4514285714285715</v>
      </c>
    </row>
    <row r="6" spans="1:24" ht="17.5" thickBot="1" x14ac:dyDescent="0.45">
      <c r="A6">
        <v>2014</v>
      </c>
      <c r="B6">
        <v>5</v>
      </c>
      <c r="C6">
        <v>5</v>
      </c>
      <c r="D6" t="s">
        <v>76</v>
      </c>
      <c r="E6" t="s">
        <v>77</v>
      </c>
      <c r="F6" t="s">
        <v>160</v>
      </c>
      <c r="G6">
        <v>5</v>
      </c>
      <c r="H6" t="s">
        <v>123</v>
      </c>
      <c r="I6" t="s">
        <v>161</v>
      </c>
      <c r="J6" t="s">
        <v>151</v>
      </c>
      <c r="K6" t="s">
        <v>152</v>
      </c>
      <c r="L6" t="s">
        <v>153</v>
      </c>
      <c r="M6" t="s">
        <v>154</v>
      </c>
      <c r="N6" t="s">
        <v>155</v>
      </c>
      <c r="O6">
        <v>5</v>
      </c>
      <c r="P6" t="s">
        <v>18</v>
      </c>
      <c r="Q6">
        <f>ABS(Table1[[#This Row],[Rate]]-Table1[[#This Row],[AI RATE]])</f>
        <v>0</v>
      </c>
      <c r="R6">
        <f>IF(Table1[[#This Row],[NEW RATING2]]&gt;0, Table1[[#This Row],[NEW RATING2]],Table1[[#This Row],[Rate]])</f>
        <v>5</v>
      </c>
      <c r="S6">
        <f>IF(Table1[[#This Row],[Rate]] =Table1[[#This Row],[AI RATE]],1, 0)</f>
        <v>1</v>
      </c>
      <c r="V6" s="4"/>
      <c r="W6" s="5"/>
      <c r="X6" s="5"/>
    </row>
    <row r="7" spans="1:24" ht="19.5" x14ac:dyDescent="0.45">
      <c r="A7">
        <v>2014</v>
      </c>
      <c r="B7">
        <v>6</v>
      </c>
      <c r="C7">
        <v>6</v>
      </c>
      <c r="D7" t="s">
        <v>84</v>
      </c>
      <c r="E7" t="s">
        <v>85</v>
      </c>
      <c r="F7" t="s">
        <v>162</v>
      </c>
      <c r="G7">
        <v>4</v>
      </c>
      <c r="H7" t="s">
        <v>55</v>
      </c>
      <c r="I7" t="s">
        <v>142</v>
      </c>
      <c r="J7" t="s">
        <v>151</v>
      </c>
      <c r="K7" t="s">
        <v>152</v>
      </c>
      <c r="L7" t="s">
        <v>153</v>
      </c>
      <c r="M7" t="s">
        <v>154</v>
      </c>
      <c r="N7" t="s">
        <v>155</v>
      </c>
      <c r="O7">
        <v>4</v>
      </c>
      <c r="P7" t="s">
        <v>18</v>
      </c>
      <c r="Q7">
        <f>ABS(Table1[[#This Row],[Rate]]-Table1[[#This Row],[AI RATE]])</f>
        <v>0</v>
      </c>
      <c r="R7">
        <f>IF(Table1[[#This Row],[NEW RATING2]]&gt;0, Table1[[#This Row],[NEW RATING2]],Table1[[#This Row],[Rate]])</f>
        <v>4</v>
      </c>
      <c r="S7">
        <f>IF(Table1[[#This Row],[Rate]] =Table1[[#This Row],[AI RATE]],1, 0)</f>
        <v>1</v>
      </c>
      <c r="V7" s="9" t="s">
        <v>611</v>
      </c>
      <c r="W7" s="3" t="s">
        <v>603</v>
      </c>
      <c r="X7" s="7" t="s">
        <v>607</v>
      </c>
    </row>
    <row r="8" spans="1:24" ht="17" x14ac:dyDescent="0.4">
      <c r="A8">
        <v>2014</v>
      </c>
      <c r="B8">
        <v>7</v>
      </c>
      <c r="C8">
        <v>7</v>
      </c>
      <c r="D8" t="s">
        <v>30</v>
      </c>
      <c r="E8" t="s">
        <v>31</v>
      </c>
      <c r="F8" t="s">
        <v>163</v>
      </c>
      <c r="G8">
        <v>5</v>
      </c>
      <c r="H8" t="s">
        <v>25</v>
      </c>
      <c r="I8" t="s">
        <v>142</v>
      </c>
      <c r="J8" t="s">
        <v>151</v>
      </c>
      <c r="K8" t="s">
        <v>152</v>
      </c>
      <c r="L8" t="s">
        <v>153</v>
      </c>
      <c r="M8" t="s">
        <v>154</v>
      </c>
      <c r="N8" t="s">
        <v>155</v>
      </c>
      <c r="O8">
        <v>5</v>
      </c>
      <c r="P8" t="s">
        <v>18</v>
      </c>
      <c r="Q8">
        <f>ABS(Table1[[#This Row],[Rate]]-Table1[[#This Row],[AI RATE]])</f>
        <v>0</v>
      </c>
      <c r="R8">
        <f>IF(Table1[[#This Row],[NEW RATING2]]&gt;0, Table1[[#This Row],[NEW RATING2]],Table1[[#This Row],[Rate]])</f>
        <v>5</v>
      </c>
      <c r="S8">
        <f>IF(Table1[[#This Row],[Rate]] =Table1[[#This Row],[AI RATE]],1, 0)</f>
        <v>1</v>
      </c>
      <c r="V8" s="14" t="s">
        <v>612</v>
      </c>
      <c r="W8" s="8">
        <f>AVERAGEIFS(Table1[Rating*], Table1[Pick], "&lt;11", Table1[ATTEND?], "HOME")</f>
        <v>3.6774193548387095</v>
      </c>
      <c r="X8" s="13">
        <f>AVERAGEIFS(Table1[Rating*], Table1[Pick], "&lt;11", Table1[ATTEND?], "CONFIRMED_DRAFT")</f>
        <v>3.6329113924050631</v>
      </c>
    </row>
    <row r="9" spans="1:24" ht="17" x14ac:dyDescent="0.4">
      <c r="A9">
        <v>2014</v>
      </c>
      <c r="B9">
        <v>8</v>
      </c>
      <c r="C9">
        <v>8</v>
      </c>
      <c r="D9" t="s">
        <v>23</v>
      </c>
      <c r="E9" t="s">
        <v>24</v>
      </c>
      <c r="F9" t="s">
        <v>164</v>
      </c>
      <c r="G9">
        <v>1</v>
      </c>
      <c r="H9" t="s">
        <v>124</v>
      </c>
      <c r="I9" t="s">
        <v>138</v>
      </c>
      <c r="J9" t="s">
        <v>151</v>
      </c>
      <c r="K9" t="s">
        <v>152</v>
      </c>
      <c r="L9" t="s">
        <v>153</v>
      </c>
      <c r="M9" t="s">
        <v>154</v>
      </c>
      <c r="N9" t="s">
        <v>155</v>
      </c>
      <c r="O9">
        <v>1</v>
      </c>
      <c r="P9" t="s">
        <v>18</v>
      </c>
      <c r="Q9">
        <f>ABS(Table1[[#This Row],[Rate]]-Table1[[#This Row],[AI RATE]])</f>
        <v>0</v>
      </c>
      <c r="R9">
        <f>IF(Table1[[#This Row],[NEW RATING2]]&gt;0, Table1[[#This Row],[NEW RATING2]],Table1[[#This Row],[Rate]])</f>
        <v>1</v>
      </c>
      <c r="S9">
        <f>IF(Table1[[#This Row],[Rate]] =Table1[[#This Row],[AI RATE]],1, 0)</f>
        <v>1</v>
      </c>
      <c r="V9" s="15" t="s">
        <v>614</v>
      </c>
      <c r="W9" s="8">
        <f>AVERAGEIFS(Table1[Rating*], Table1[Pick], "&gt;10", Table1[ATTEND?], "HOME",Table1[Pick], "&lt;21")</f>
        <v>3.1964285714285716</v>
      </c>
      <c r="X9" s="13">
        <f>AVERAGEIFS(Table1[Rating*], Table1[Pick], "&gt;10", Table1[ATTEND?], "CONFIRMED_DRAFT",Table1[Pick], "&lt;21")</f>
        <v>3.5283018867924527</v>
      </c>
    </row>
    <row r="10" spans="1:24" ht="17.5" thickBot="1" x14ac:dyDescent="0.45">
      <c r="A10">
        <v>2014</v>
      </c>
      <c r="B10">
        <v>9</v>
      </c>
      <c r="C10">
        <v>9</v>
      </c>
      <c r="D10" t="s">
        <v>35</v>
      </c>
      <c r="E10" t="s">
        <v>36</v>
      </c>
      <c r="F10" t="s">
        <v>165</v>
      </c>
      <c r="G10">
        <v>4</v>
      </c>
      <c r="H10" t="s">
        <v>123</v>
      </c>
      <c r="I10" t="s">
        <v>113</v>
      </c>
      <c r="J10" t="s">
        <v>603</v>
      </c>
      <c r="K10" t="s">
        <v>166</v>
      </c>
      <c r="L10" t="s">
        <v>167</v>
      </c>
      <c r="M10" t="s">
        <v>168</v>
      </c>
      <c r="N10" t="s">
        <v>155</v>
      </c>
      <c r="O10">
        <v>3</v>
      </c>
      <c r="P10" t="s">
        <v>18</v>
      </c>
      <c r="Q10">
        <f>ABS(Table1[[#This Row],[Rate]]-Table1[[#This Row],[AI RATE]])</f>
        <v>1</v>
      </c>
      <c r="R10">
        <f>IF(Table1[[#This Row],[NEW RATING2]]&gt;0, Table1[[#This Row],[NEW RATING2]],Table1[[#This Row],[Rate]])</f>
        <v>4</v>
      </c>
      <c r="S10">
        <f>IF(Table1[[#This Row],[Rate]] =Table1[[#This Row],[AI RATE]],1, 0)</f>
        <v>0</v>
      </c>
      <c r="V10" s="16" t="s">
        <v>613</v>
      </c>
      <c r="W10" s="17">
        <f>AVERAGEIFS(Table1[Rating*], Table1[Pick], "&gt;20", Table1[ATTEND?], "HOME")</f>
        <v>2.6436781609195403</v>
      </c>
      <c r="X10" s="18">
        <f>AVERAGEIFS(Table1[Rating*], Table1[Pick], "&gt;20", Table1[ATTEND?], "CONFIRMED_DRAFT")</f>
        <v>3.0232558139534884</v>
      </c>
    </row>
    <row r="11" spans="1:24" x14ac:dyDescent="0.35">
      <c r="A11">
        <v>2014</v>
      </c>
      <c r="B11">
        <v>10</v>
      </c>
      <c r="C11">
        <v>10</v>
      </c>
      <c r="D11" t="s">
        <v>42</v>
      </c>
      <c r="E11" t="s">
        <v>43</v>
      </c>
      <c r="F11" t="s">
        <v>169</v>
      </c>
      <c r="G11">
        <v>2</v>
      </c>
      <c r="H11" t="s">
        <v>92</v>
      </c>
      <c r="I11" t="s">
        <v>129</v>
      </c>
      <c r="J11" t="s">
        <v>151</v>
      </c>
      <c r="K11" t="s">
        <v>152</v>
      </c>
      <c r="L11" t="s">
        <v>153</v>
      </c>
      <c r="M11" t="s">
        <v>154</v>
      </c>
      <c r="N11" t="s">
        <v>155</v>
      </c>
      <c r="O11">
        <v>3</v>
      </c>
      <c r="P11" t="s">
        <v>18</v>
      </c>
      <c r="Q11">
        <f>ABS(Table1[[#This Row],[Rate]]-Table1[[#This Row],[AI RATE]])</f>
        <v>1</v>
      </c>
      <c r="R11">
        <f>IF(Table1[[#This Row],[NEW RATING2]]&gt;0, Table1[[#This Row],[NEW RATING2]],Table1[[#This Row],[Rate]])</f>
        <v>2</v>
      </c>
      <c r="S11">
        <f>IF(Table1[[#This Row],[Rate]] =Table1[[#This Row],[AI RATE]],1, 0)</f>
        <v>0</v>
      </c>
    </row>
    <row r="12" spans="1:24" x14ac:dyDescent="0.35">
      <c r="A12">
        <v>2014</v>
      </c>
      <c r="B12">
        <v>11</v>
      </c>
      <c r="C12">
        <v>11</v>
      </c>
      <c r="D12" t="s">
        <v>32</v>
      </c>
      <c r="E12" t="s">
        <v>33</v>
      </c>
      <c r="F12" t="s">
        <v>170</v>
      </c>
      <c r="G12">
        <v>4</v>
      </c>
      <c r="H12" t="s">
        <v>55</v>
      </c>
      <c r="I12" t="s">
        <v>26</v>
      </c>
      <c r="J12" t="s">
        <v>151</v>
      </c>
      <c r="K12" t="s">
        <v>152</v>
      </c>
      <c r="L12" t="s">
        <v>153</v>
      </c>
      <c r="M12" t="s">
        <v>154</v>
      </c>
      <c r="N12" t="s">
        <v>155</v>
      </c>
      <c r="O12">
        <v>4</v>
      </c>
      <c r="P12" t="s">
        <v>18</v>
      </c>
      <c r="Q12">
        <f>ABS(Table1[[#This Row],[Rate]]-Table1[[#This Row],[AI RATE]])</f>
        <v>0</v>
      </c>
      <c r="R12">
        <f>IF(Table1[[#This Row],[NEW RATING2]]&gt;0, Table1[[#This Row],[NEW RATING2]],Table1[[#This Row],[Rate]])</f>
        <v>4</v>
      </c>
      <c r="S12">
        <f>IF(Table1[[#This Row],[Rate]] =Table1[[#This Row],[AI RATE]],1, 0)</f>
        <v>1</v>
      </c>
    </row>
    <row r="13" spans="1:24" x14ac:dyDescent="0.35">
      <c r="A13">
        <v>2014</v>
      </c>
      <c r="B13">
        <v>12</v>
      </c>
      <c r="C13">
        <v>12</v>
      </c>
      <c r="D13" t="s">
        <v>115</v>
      </c>
      <c r="E13" t="s">
        <v>116</v>
      </c>
      <c r="F13" t="s">
        <v>171</v>
      </c>
      <c r="G13">
        <v>4</v>
      </c>
      <c r="H13" t="s">
        <v>25</v>
      </c>
      <c r="I13" t="s">
        <v>70</v>
      </c>
      <c r="J13" t="s">
        <v>603</v>
      </c>
      <c r="K13" t="s">
        <v>172</v>
      </c>
      <c r="L13" t="s">
        <v>16</v>
      </c>
      <c r="M13" t="s">
        <v>17</v>
      </c>
      <c r="O13">
        <v>5</v>
      </c>
      <c r="P13" t="s">
        <v>18</v>
      </c>
      <c r="Q13">
        <f>ABS(Table1[[#This Row],[Rate]]-Table1[[#This Row],[AI RATE]])</f>
        <v>1</v>
      </c>
      <c r="R13">
        <f>IF(Table1[[#This Row],[NEW RATING2]]&gt;0, Table1[[#This Row],[NEW RATING2]],Table1[[#This Row],[Rate]])</f>
        <v>4</v>
      </c>
      <c r="S13">
        <f>IF(Table1[[#This Row],[Rate]] =Table1[[#This Row],[AI RATE]],1, 0)</f>
        <v>0</v>
      </c>
    </row>
    <row r="14" spans="1:24" x14ac:dyDescent="0.35">
      <c r="A14">
        <v>2014</v>
      </c>
      <c r="B14">
        <v>13</v>
      </c>
      <c r="C14">
        <v>13</v>
      </c>
      <c r="D14" t="s">
        <v>68</v>
      </c>
      <c r="E14" t="s">
        <v>69</v>
      </c>
      <c r="F14" t="s">
        <v>173</v>
      </c>
      <c r="G14">
        <v>5</v>
      </c>
      <c r="H14" t="s">
        <v>86</v>
      </c>
      <c r="I14" t="s">
        <v>119</v>
      </c>
      <c r="J14" t="s">
        <v>603</v>
      </c>
      <c r="K14" t="s">
        <v>166</v>
      </c>
      <c r="L14" t="s">
        <v>167</v>
      </c>
      <c r="M14" t="s">
        <v>168</v>
      </c>
      <c r="N14" t="s">
        <v>155</v>
      </c>
      <c r="O14">
        <v>5</v>
      </c>
      <c r="P14" t="s">
        <v>18</v>
      </c>
      <c r="Q14">
        <f>ABS(Table1[[#This Row],[Rate]]-Table1[[#This Row],[AI RATE]])</f>
        <v>0</v>
      </c>
      <c r="R14">
        <f>IF(Table1[[#This Row],[NEW RATING2]]&gt;0, Table1[[#This Row],[NEW RATING2]],Table1[[#This Row],[Rate]])</f>
        <v>5</v>
      </c>
      <c r="S14">
        <f>IF(Table1[[#This Row],[Rate]] =Table1[[#This Row],[AI RATE]],1, 0)</f>
        <v>1</v>
      </c>
    </row>
    <row r="15" spans="1:24" x14ac:dyDescent="0.35">
      <c r="A15">
        <v>2014</v>
      </c>
      <c r="B15">
        <v>14</v>
      </c>
      <c r="C15">
        <v>14</v>
      </c>
      <c r="D15" t="s">
        <v>27</v>
      </c>
      <c r="E15" t="s">
        <v>28</v>
      </c>
      <c r="F15" t="s">
        <v>174</v>
      </c>
      <c r="G15">
        <v>4</v>
      </c>
      <c r="H15" t="s">
        <v>124</v>
      </c>
      <c r="I15" t="s">
        <v>127</v>
      </c>
      <c r="J15" t="s">
        <v>151</v>
      </c>
      <c r="K15" t="s">
        <v>152</v>
      </c>
      <c r="L15" t="s">
        <v>153</v>
      </c>
      <c r="M15" t="s">
        <v>154</v>
      </c>
      <c r="N15" t="s">
        <v>155</v>
      </c>
      <c r="O15">
        <v>4</v>
      </c>
      <c r="P15" t="s">
        <v>18</v>
      </c>
      <c r="Q15">
        <f>ABS(Table1[[#This Row],[Rate]]-Table1[[#This Row],[AI RATE]])</f>
        <v>0</v>
      </c>
      <c r="R15">
        <f>IF(Table1[[#This Row],[NEW RATING2]]&gt;0, Table1[[#This Row],[NEW RATING2]],Table1[[#This Row],[Rate]])</f>
        <v>4</v>
      </c>
      <c r="S15">
        <f>IF(Table1[[#This Row],[Rate]] =Table1[[#This Row],[AI RATE]],1, 0)</f>
        <v>1</v>
      </c>
    </row>
    <row r="16" spans="1:24" x14ac:dyDescent="0.35">
      <c r="A16">
        <v>2014</v>
      </c>
      <c r="B16">
        <v>15</v>
      </c>
      <c r="C16">
        <v>15</v>
      </c>
      <c r="D16" t="s">
        <v>90</v>
      </c>
      <c r="E16" t="s">
        <v>91</v>
      </c>
      <c r="F16" t="s">
        <v>175</v>
      </c>
      <c r="G16">
        <v>4</v>
      </c>
      <c r="H16" t="s">
        <v>123</v>
      </c>
      <c r="I16" t="s">
        <v>101</v>
      </c>
      <c r="J16" t="s">
        <v>151</v>
      </c>
      <c r="K16" t="s">
        <v>152</v>
      </c>
      <c r="L16" t="s">
        <v>153</v>
      </c>
      <c r="M16" t="s">
        <v>154</v>
      </c>
      <c r="N16" t="s">
        <v>155</v>
      </c>
      <c r="O16">
        <v>3</v>
      </c>
      <c r="P16" t="s">
        <v>18</v>
      </c>
      <c r="Q16">
        <f>ABS(Table1[[#This Row],[Rate]]-Table1[[#This Row],[AI RATE]])</f>
        <v>1</v>
      </c>
      <c r="R16">
        <f>IF(Table1[[#This Row],[NEW RATING2]]&gt;0, Table1[[#This Row],[NEW RATING2]],Table1[[#This Row],[Rate]])</f>
        <v>4</v>
      </c>
      <c r="S16">
        <f>IF(Table1[[#This Row],[Rate]] =Table1[[#This Row],[AI RATE]],1, 0)</f>
        <v>0</v>
      </c>
    </row>
    <row r="17" spans="1:20" x14ac:dyDescent="0.35">
      <c r="A17">
        <v>2014</v>
      </c>
      <c r="B17">
        <v>16</v>
      </c>
      <c r="C17">
        <v>16</v>
      </c>
      <c r="D17" t="s">
        <v>46</v>
      </c>
      <c r="E17" t="s">
        <v>47</v>
      </c>
      <c r="F17" t="s">
        <v>176</v>
      </c>
      <c r="G17">
        <v>5</v>
      </c>
      <c r="H17" t="s">
        <v>55</v>
      </c>
      <c r="I17" t="s">
        <v>121</v>
      </c>
      <c r="J17" t="s">
        <v>603</v>
      </c>
      <c r="K17" t="s">
        <v>166</v>
      </c>
      <c r="L17" t="s">
        <v>167</v>
      </c>
      <c r="M17" t="s">
        <v>168</v>
      </c>
      <c r="N17" t="s">
        <v>155</v>
      </c>
      <c r="O17">
        <v>5</v>
      </c>
      <c r="P17" t="s">
        <v>18</v>
      </c>
      <c r="Q17">
        <f>ABS(Table1[[#This Row],[Rate]]-Table1[[#This Row],[AI RATE]])</f>
        <v>0</v>
      </c>
      <c r="R17">
        <f>IF(Table1[[#This Row],[NEW RATING2]]&gt;0, Table1[[#This Row],[NEW RATING2]],Table1[[#This Row],[Rate]])</f>
        <v>5</v>
      </c>
      <c r="S17">
        <f>IF(Table1[[#This Row],[Rate]] =Table1[[#This Row],[AI RATE]],1, 0)</f>
        <v>1</v>
      </c>
    </row>
    <row r="18" spans="1:20" x14ac:dyDescent="0.35">
      <c r="A18">
        <v>2014</v>
      </c>
      <c r="B18">
        <v>17</v>
      </c>
      <c r="C18">
        <v>17</v>
      </c>
      <c r="D18" t="s">
        <v>74</v>
      </c>
      <c r="E18" t="s">
        <v>75</v>
      </c>
      <c r="F18" t="s">
        <v>177</v>
      </c>
      <c r="G18">
        <v>5</v>
      </c>
      <c r="H18" t="s">
        <v>140</v>
      </c>
      <c r="I18" t="s">
        <v>133</v>
      </c>
      <c r="J18" t="s">
        <v>151</v>
      </c>
      <c r="K18" t="s">
        <v>152</v>
      </c>
      <c r="L18" t="s">
        <v>153</v>
      </c>
      <c r="M18" t="s">
        <v>154</v>
      </c>
      <c r="N18" t="s">
        <v>155</v>
      </c>
      <c r="O18">
        <v>4</v>
      </c>
      <c r="P18" t="s">
        <v>18</v>
      </c>
      <c r="Q18">
        <f>ABS(Table1[[#This Row],[Rate]]-Table1[[#This Row],[AI RATE]])</f>
        <v>1</v>
      </c>
      <c r="R18">
        <f>IF(Table1[[#This Row],[NEW RATING2]]&gt;0, Table1[[#This Row],[NEW RATING2]],Table1[[#This Row],[Rate]])</f>
        <v>5</v>
      </c>
      <c r="S18">
        <f>IF(Table1[[#This Row],[Rate]] =Table1[[#This Row],[AI RATE]],1, 0)</f>
        <v>0</v>
      </c>
    </row>
    <row r="19" spans="1:20" x14ac:dyDescent="0.35">
      <c r="A19">
        <v>2014</v>
      </c>
      <c r="B19">
        <v>18</v>
      </c>
      <c r="C19">
        <v>18</v>
      </c>
      <c r="D19" t="s">
        <v>99</v>
      </c>
      <c r="E19" t="s">
        <v>100</v>
      </c>
      <c r="F19" t="s">
        <v>178</v>
      </c>
      <c r="G19">
        <v>4</v>
      </c>
      <c r="H19" t="s">
        <v>130</v>
      </c>
      <c r="I19" t="s">
        <v>118</v>
      </c>
      <c r="J19" t="s">
        <v>151</v>
      </c>
      <c r="K19" t="s">
        <v>152</v>
      </c>
      <c r="L19" t="s">
        <v>153</v>
      </c>
      <c r="M19" t="s">
        <v>154</v>
      </c>
      <c r="N19" t="s">
        <v>155</v>
      </c>
      <c r="O19">
        <v>1</v>
      </c>
      <c r="P19" t="s">
        <v>18</v>
      </c>
      <c r="Q19">
        <f>ABS(Table1[[#This Row],[Rate]]-Table1[[#This Row],[AI RATE]])</f>
        <v>3</v>
      </c>
      <c r="R19">
        <f>IF(Table1[[#This Row],[NEW RATING2]]&gt;0, Table1[[#This Row],[NEW RATING2]],Table1[[#This Row],[Rate]])</f>
        <v>1</v>
      </c>
      <c r="S19">
        <f>IF(Table1[[#This Row],[Rate]] =Table1[[#This Row],[AI RATE]],1, 0)</f>
        <v>0</v>
      </c>
      <c r="T19">
        <v>1</v>
      </c>
    </row>
    <row r="20" spans="1:20" x14ac:dyDescent="0.35">
      <c r="A20">
        <v>2014</v>
      </c>
      <c r="B20">
        <v>19</v>
      </c>
      <c r="C20">
        <v>19</v>
      </c>
      <c r="D20" t="s">
        <v>19</v>
      </c>
      <c r="E20" t="s">
        <v>20</v>
      </c>
      <c r="F20" t="s">
        <v>179</v>
      </c>
      <c r="G20">
        <v>2</v>
      </c>
      <c r="H20" t="s">
        <v>55</v>
      </c>
      <c r="I20" t="s">
        <v>108</v>
      </c>
      <c r="J20" t="s">
        <v>603</v>
      </c>
      <c r="K20" t="s">
        <v>172</v>
      </c>
      <c r="L20" t="s">
        <v>16</v>
      </c>
      <c r="M20" t="s">
        <v>17</v>
      </c>
      <c r="O20">
        <v>3</v>
      </c>
      <c r="P20" t="s">
        <v>18</v>
      </c>
      <c r="Q20">
        <f>ABS(Table1[[#This Row],[Rate]]-Table1[[#This Row],[AI RATE]])</f>
        <v>1</v>
      </c>
      <c r="R20">
        <f>IF(Table1[[#This Row],[NEW RATING2]]&gt;0, Table1[[#This Row],[NEW RATING2]],Table1[[#This Row],[Rate]])</f>
        <v>2</v>
      </c>
      <c r="S20">
        <f>IF(Table1[[#This Row],[Rate]] =Table1[[#This Row],[AI RATE]],1, 0)</f>
        <v>0</v>
      </c>
    </row>
    <row r="21" spans="1:20" x14ac:dyDescent="0.35">
      <c r="A21">
        <v>2014</v>
      </c>
      <c r="B21">
        <v>20</v>
      </c>
      <c r="C21">
        <v>20</v>
      </c>
      <c r="D21" t="s">
        <v>53</v>
      </c>
      <c r="E21" t="s">
        <v>54</v>
      </c>
      <c r="F21" t="s">
        <v>180</v>
      </c>
      <c r="G21">
        <v>4</v>
      </c>
      <c r="H21" t="s">
        <v>25</v>
      </c>
      <c r="I21" t="s">
        <v>181</v>
      </c>
      <c r="J21" t="s">
        <v>151</v>
      </c>
      <c r="K21" t="s">
        <v>152</v>
      </c>
      <c r="L21" t="s">
        <v>153</v>
      </c>
      <c r="M21" t="s">
        <v>154</v>
      </c>
      <c r="N21" t="s">
        <v>155</v>
      </c>
      <c r="O21">
        <v>4</v>
      </c>
      <c r="P21" t="s">
        <v>18</v>
      </c>
      <c r="Q21">
        <f>ABS(Table1[[#This Row],[Rate]]-Table1[[#This Row],[AI RATE]])</f>
        <v>0</v>
      </c>
      <c r="R21">
        <f>IF(Table1[[#This Row],[NEW RATING2]]&gt;0, Table1[[#This Row],[NEW RATING2]],Table1[[#This Row],[Rate]])</f>
        <v>4</v>
      </c>
      <c r="S21">
        <f>IF(Table1[[#This Row],[Rate]] =Table1[[#This Row],[AI RATE]],1, 0)</f>
        <v>1</v>
      </c>
    </row>
    <row r="22" spans="1:20" x14ac:dyDescent="0.35">
      <c r="A22">
        <v>2014</v>
      </c>
      <c r="B22">
        <v>21</v>
      </c>
      <c r="C22">
        <v>21</v>
      </c>
      <c r="D22" t="s">
        <v>78</v>
      </c>
      <c r="E22" t="s">
        <v>79</v>
      </c>
      <c r="F22" t="s">
        <v>182</v>
      </c>
      <c r="G22">
        <v>3</v>
      </c>
      <c r="H22" t="s">
        <v>130</v>
      </c>
      <c r="I22" t="s">
        <v>133</v>
      </c>
      <c r="J22" t="s">
        <v>151</v>
      </c>
      <c r="K22" t="s">
        <v>152</v>
      </c>
      <c r="L22" t="s">
        <v>153</v>
      </c>
      <c r="M22" t="s">
        <v>154</v>
      </c>
      <c r="N22" t="s">
        <v>155</v>
      </c>
      <c r="O22">
        <v>3</v>
      </c>
      <c r="P22" t="s">
        <v>18</v>
      </c>
      <c r="Q22">
        <f>ABS(Table1[[#This Row],[Rate]]-Table1[[#This Row],[AI RATE]])</f>
        <v>0</v>
      </c>
      <c r="R22">
        <f>IF(Table1[[#This Row],[NEW RATING2]]&gt;0, Table1[[#This Row],[NEW RATING2]],Table1[[#This Row],[Rate]])</f>
        <v>3</v>
      </c>
      <c r="S22">
        <f>IF(Table1[[#This Row],[Rate]] =Table1[[#This Row],[AI RATE]],1, 0)</f>
        <v>1</v>
      </c>
    </row>
    <row r="23" spans="1:20" x14ac:dyDescent="0.35">
      <c r="A23">
        <v>2014</v>
      </c>
      <c r="B23">
        <v>22</v>
      </c>
      <c r="C23">
        <v>22</v>
      </c>
      <c r="D23" t="s">
        <v>23</v>
      </c>
      <c r="E23" t="s">
        <v>24</v>
      </c>
      <c r="F23" t="s">
        <v>183</v>
      </c>
      <c r="G23">
        <v>1</v>
      </c>
      <c r="H23" t="s">
        <v>14</v>
      </c>
      <c r="I23" t="s">
        <v>142</v>
      </c>
      <c r="J23" t="s">
        <v>151</v>
      </c>
      <c r="K23" t="s">
        <v>152</v>
      </c>
      <c r="L23" t="s">
        <v>153</v>
      </c>
      <c r="M23" t="s">
        <v>154</v>
      </c>
      <c r="N23" t="s">
        <v>155</v>
      </c>
      <c r="O23">
        <v>1</v>
      </c>
      <c r="P23" t="s">
        <v>18</v>
      </c>
      <c r="Q23">
        <f>ABS(Table1[[#This Row],[Rate]]-Table1[[#This Row],[AI RATE]])</f>
        <v>0</v>
      </c>
      <c r="R23">
        <f>IF(Table1[[#This Row],[NEW RATING2]]&gt;0, Table1[[#This Row],[NEW RATING2]],Table1[[#This Row],[Rate]])</f>
        <v>1</v>
      </c>
      <c r="S23">
        <f>IF(Table1[[#This Row],[Rate]] =Table1[[#This Row],[AI RATE]],1, 0)</f>
        <v>1</v>
      </c>
    </row>
    <row r="24" spans="1:20" x14ac:dyDescent="0.35">
      <c r="A24">
        <v>2014</v>
      </c>
      <c r="B24">
        <v>23</v>
      </c>
      <c r="C24">
        <v>23</v>
      </c>
      <c r="D24" t="s">
        <v>60</v>
      </c>
      <c r="E24" t="s">
        <v>61</v>
      </c>
      <c r="F24" t="s">
        <v>184</v>
      </c>
      <c r="G24">
        <v>3</v>
      </c>
      <c r="H24" t="s">
        <v>48</v>
      </c>
      <c r="I24" t="s">
        <v>22</v>
      </c>
      <c r="J24" t="s">
        <v>603</v>
      </c>
      <c r="K24" t="s">
        <v>166</v>
      </c>
      <c r="L24" t="s">
        <v>167</v>
      </c>
      <c r="M24" t="s">
        <v>168</v>
      </c>
      <c r="N24" t="s">
        <v>155</v>
      </c>
      <c r="O24">
        <v>3</v>
      </c>
      <c r="P24" t="s">
        <v>18</v>
      </c>
      <c r="Q24">
        <f>ABS(Table1[[#This Row],[Rate]]-Table1[[#This Row],[AI RATE]])</f>
        <v>0</v>
      </c>
      <c r="R24">
        <f>IF(Table1[[#This Row],[NEW RATING2]]&gt;0, Table1[[#This Row],[NEW RATING2]],Table1[[#This Row],[Rate]])</f>
        <v>3</v>
      </c>
      <c r="S24">
        <f>IF(Table1[[#This Row],[Rate]] =Table1[[#This Row],[AI RATE]],1, 0)</f>
        <v>1</v>
      </c>
    </row>
    <row r="25" spans="1:20" x14ac:dyDescent="0.35">
      <c r="A25">
        <v>2014</v>
      </c>
      <c r="B25">
        <v>24</v>
      </c>
      <c r="C25">
        <v>24</v>
      </c>
      <c r="D25" t="s">
        <v>65</v>
      </c>
      <c r="E25" t="s">
        <v>66</v>
      </c>
      <c r="F25" t="s">
        <v>185</v>
      </c>
      <c r="G25">
        <v>3</v>
      </c>
      <c r="H25" t="s">
        <v>124</v>
      </c>
      <c r="I25" t="s">
        <v>186</v>
      </c>
      <c r="J25" t="s">
        <v>603</v>
      </c>
      <c r="K25" t="s">
        <v>166</v>
      </c>
      <c r="L25" t="s">
        <v>167</v>
      </c>
      <c r="M25" t="s">
        <v>168</v>
      </c>
      <c r="N25" t="s">
        <v>155</v>
      </c>
      <c r="O25">
        <v>2</v>
      </c>
      <c r="P25" t="s">
        <v>18</v>
      </c>
      <c r="Q25">
        <f>ABS(Table1[[#This Row],[Rate]]-Table1[[#This Row],[AI RATE]])</f>
        <v>1</v>
      </c>
      <c r="R25">
        <f>IF(Table1[[#This Row],[NEW RATING2]]&gt;0, Table1[[#This Row],[NEW RATING2]],Table1[[#This Row],[Rate]])</f>
        <v>3</v>
      </c>
      <c r="S25">
        <f>IF(Table1[[#This Row],[Rate]] =Table1[[#This Row],[AI RATE]],1, 0)</f>
        <v>0</v>
      </c>
    </row>
    <row r="26" spans="1:20" x14ac:dyDescent="0.35">
      <c r="A26">
        <v>2014</v>
      </c>
      <c r="B26">
        <v>25</v>
      </c>
      <c r="C26">
        <v>25</v>
      </c>
      <c r="D26" t="s">
        <v>49</v>
      </c>
      <c r="E26" t="s">
        <v>50</v>
      </c>
      <c r="F26" t="s">
        <v>187</v>
      </c>
      <c r="G26">
        <v>4</v>
      </c>
      <c r="H26" t="s">
        <v>124</v>
      </c>
      <c r="I26" t="s">
        <v>141</v>
      </c>
      <c r="J26" t="s">
        <v>151</v>
      </c>
      <c r="K26" t="s">
        <v>152</v>
      </c>
      <c r="L26" t="s">
        <v>153</v>
      </c>
      <c r="M26" t="s">
        <v>154</v>
      </c>
      <c r="N26" t="s">
        <v>155</v>
      </c>
      <c r="O26">
        <v>3</v>
      </c>
      <c r="P26" t="s">
        <v>18</v>
      </c>
      <c r="Q26">
        <f>ABS(Table1[[#This Row],[Rate]]-Table1[[#This Row],[AI RATE]])</f>
        <v>1</v>
      </c>
      <c r="R26">
        <f>IF(Table1[[#This Row],[NEW RATING2]]&gt;0, Table1[[#This Row],[NEW RATING2]],Table1[[#This Row],[Rate]])</f>
        <v>4</v>
      </c>
      <c r="S26">
        <f>IF(Table1[[#This Row],[Rate]] =Table1[[#This Row],[AI RATE]],1, 0)</f>
        <v>0</v>
      </c>
    </row>
    <row r="27" spans="1:20" x14ac:dyDescent="0.35">
      <c r="A27">
        <v>2014</v>
      </c>
      <c r="B27">
        <v>26</v>
      </c>
      <c r="C27">
        <v>26</v>
      </c>
      <c r="D27" t="s">
        <v>93</v>
      </c>
      <c r="E27" t="s">
        <v>94</v>
      </c>
      <c r="F27" t="s">
        <v>188</v>
      </c>
      <c r="G27">
        <v>2</v>
      </c>
      <c r="H27" t="s">
        <v>48</v>
      </c>
      <c r="I27" t="s">
        <v>118</v>
      </c>
      <c r="J27" t="s">
        <v>603</v>
      </c>
      <c r="K27" t="s">
        <v>172</v>
      </c>
      <c r="L27" t="s">
        <v>16</v>
      </c>
      <c r="M27" t="s">
        <v>17</v>
      </c>
      <c r="O27">
        <v>1</v>
      </c>
      <c r="P27" t="s">
        <v>18</v>
      </c>
      <c r="Q27">
        <f>ABS(Table1[[#This Row],[Rate]]-Table1[[#This Row],[AI RATE]])</f>
        <v>1</v>
      </c>
      <c r="R27">
        <f>IF(Table1[[#This Row],[NEW RATING2]]&gt;0, Table1[[#This Row],[NEW RATING2]],Table1[[#This Row],[Rate]])</f>
        <v>2</v>
      </c>
      <c r="S27">
        <f>IF(Table1[[#This Row],[Rate]] =Table1[[#This Row],[AI RATE]],1, 0)</f>
        <v>0</v>
      </c>
    </row>
    <row r="28" spans="1:20" x14ac:dyDescent="0.35">
      <c r="A28">
        <v>2014</v>
      </c>
      <c r="B28">
        <v>27</v>
      </c>
      <c r="C28">
        <v>27</v>
      </c>
      <c r="D28" t="s">
        <v>38</v>
      </c>
      <c r="E28" t="s">
        <v>39</v>
      </c>
      <c r="F28" t="s">
        <v>189</v>
      </c>
      <c r="G28">
        <v>2</v>
      </c>
      <c r="H28" t="s">
        <v>130</v>
      </c>
      <c r="I28" t="s">
        <v>190</v>
      </c>
      <c r="J28" t="s">
        <v>603</v>
      </c>
      <c r="K28" t="s">
        <v>172</v>
      </c>
      <c r="L28" t="s">
        <v>16</v>
      </c>
      <c r="M28" t="s">
        <v>17</v>
      </c>
      <c r="O28">
        <v>3</v>
      </c>
      <c r="P28" t="s">
        <v>18</v>
      </c>
      <c r="Q28">
        <f>ABS(Table1[[#This Row],[Rate]]-Table1[[#This Row],[AI RATE]])</f>
        <v>1</v>
      </c>
      <c r="R28">
        <f>IF(Table1[[#This Row],[NEW RATING2]]&gt;0, Table1[[#This Row],[NEW RATING2]],Table1[[#This Row],[Rate]])</f>
        <v>2</v>
      </c>
      <c r="S28">
        <f>IF(Table1[[#This Row],[Rate]] =Table1[[#This Row],[AI RATE]],1, 0)</f>
        <v>0</v>
      </c>
    </row>
    <row r="29" spans="1:20" x14ac:dyDescent="0.35">
      <c r="A29">
        <v>2014</v>
      </c>
      <c r="B29">
        <v>28</v>
      </c>
      <c r="C29">
        <v>28</v>
      </c>
      <c r="D29" t="s">
        <v>57</v>
      </c>
      <c r="E29" t="s">
        <v>58</v>
      </c>
      <c r="F29" t="s">
        <v>191</v>
      </c>
      <c r="G29">
        <v>2</v>
      </c>
      <c r="H29" t="s">
        <v>25</v>
      </c>
      <c r="I29" t="s">
        <v>64</v>
      </c>
      <c r="J29" t="s">
        <v>603</v>
      </c>
      <c r="K29" t="s">
        <v>172</v>
      </c>
      <c r="L29" t="s">
        <v>16</v>
      </c>
      <c r="M29" t="s">
        <v>17</v>
      </c>
      <c r="O29">
        <v>2</v>
      </c>
      <c r="P29" t="s">
        <v>18</v>
      </c>
      <c r="Q29">
        <f>ABS(Table1[[#This Row],[Rate]]-Table1[[#This Row],[AI RATE]])</f>
        <v>0</v>
      </c>
      <c r="R29">
        <f>IF(Table1[[#This Row],[NEW RATING2]]&gt;0, Table1[[#This Row],[NEW RATING2]],Table1[[#This Row],[Rate]])</f>
        <v>2</v>
      </c>
      <c r="S29">
        <f>IF(Table1[[#This Row],[Rate]] =Table1[[#This Row],[AI RATE]],1, 0)</f>
        <v>1</v>
      </c>
    </row>
    <row r="30" spans="1:20" x14ac:dyDescent="0.35">
      <c r="A30">
        <v>2014</v>
      </c>
      <c r="B30">
        <v>29</v>
      </c>
      <c r="C30">
        <v>29</v>
      </c>
      <c r="D30" t="s">
        <v>95</v>
      </c>
      <c r="E30" t="s">
        <v>96</v>
      </c>
      <c r="F30" t="s">
        <v>192</v>
      </c>
      <c r="G30">
        <v>2</v>
      </c>
      <c r="H30" t="s">
        <v>86</v>
      </c>
      <c r="I30" t="s">
        <v>120</v>
      </c>
      <c r="J30" t="s">
        <v>603</v>
      </c>
      <c r="K30" t="s">
        <v>172</v>
      </c>
      <c r="L30" t="s">
        <v>16</v>
      </c>
      <c r="M30" t="s">
        <v>17</v>
      </c>
      <c r="O30">
        <v>1</v>
      </c>
      <c r="P30" t="s">
        <v>18</v>
      </c>
      <c r="Q30">
        <f>ABS(Table1[[#This Row],[Rate]]-Table1[[#This Row],[AI RATE]])</f>
        <v>1</v>
      </c>
      <c r="R30">
        <f>IF(Table1[[#This Row],[NEW RATING2]]&gt;0, Table1[[#This Row],[NEW RATING2]],Table1[[#This Row],[Rate]])</f>
        <v>2</v>
      </c>
      <c r="S30">
        <f>IF(Table1[[#This Row],[Rate]] =Table1[[#This Row],[AI RATE]],1, 0)</f>
        <v>0</v>
      </c>
    </row>
    <row r="31" spans="1:20" x14ac:dyDescent="0.35">
      <c r="A31">
        <v>2014</v>
      </c>
      <c r="B31">
        <v>30</v>
      </c>
      <c r="C31">
        <v>30</v>
      </c>
      <c r="D31" t="s">
        <v>12</v>
      </c>
      <c r="E31" t="s">
        <v>13</v>
      </c>
      <c r="F31" t="s">
        <v>193</v>
      </c>
      <c r="G31">
        <v>4</v>
      </c>
      <c r="H31" t="s">
        <v>130</v>
      </c>
      <c r="I31" t="s">
        <v>135</v>
      </c>
      <c r="J31" t="s">
        <v>603</v>
      </c>
      <c r="K31" t="s">
        <v>172</v>
      </c>
      <c r="L31" t="s">
        <v>16</v>
      </c>
      <c r="M31" t="s">
        <v>17</v>
      </c>
      <c r="O31">
        <v>4</v>
      </c>
      <c r="P31" t="s">
        <v>18</v>
      </c>
      <c r="Q31">
        <f>ABS(Table1[[#This Row],[Rate]]-Table1[[#This Row],[AI RATE]])</f>
        <v>0</v>
      </c>
      <c r="R31">
        <f>IF(Table1[[#This Row],[NEW RATING2]]&gt;0, Table1[[#This Row],[NEW RATING2]],Table1[[#This Row],[Rate]])</f>
        <v>4</v>
      </c>
      <c r="S31">
        <f>IF(Table1[[#This Row],[Rate]] =Table1[[#This Row],[AI RATE]],1, 0)</f>
        <v>1</v>
      </c>
    </row>
    <row r="32" spans="1:20" x14ac:dyDescent="0.35">
      <c r="A32">
        <v>2014</v>
      </c>
      <c r="B32">
        <v>31</v>
      </c>
      <c r="C32">
        <v>31</v>
      </c>
      <c r="D32" t="s">
        <v>104</v>
      </c>
      <c r="E32" t="s">
        <v>105</v>
      </c>
      <c r="F32" t="s">
        <v>194</v>
      </c>
      <c r="G32">
        <v>4</v>
      </c>
      <c r="H32" t="s">
        <v>124</v>
      </c>
      <c r="I32" t="s">
        <v>101</v>
      </c>
      <c r="J32" t="s">
        <v>151</v>
      </c>
      <c r="K32" t="s">
        <v>152</v>
      </c>
      <c r="L32" t="s">
        <v>153</v>
      </c>
      <c r="M32" t="s">
        <v>154</v>
      </c>
      <c r="N32" t="s">
        <v>155</v>
      </c>
      <c r="O32">
        <v>3</v>
      </c>
      <c r="P32" t="s">
        <v>18</v>
      </c>
      <c r="Q32">
        <f>ABS(Table1[[#This Row],[Rate]]-Table1[[#This Row],[AI RATE]])</f>
        <v>1</v>
      </c>
      <c r="R32">
        <f>IF(Table1[[#This Row],[NEW RATING2]]&gt;0, Table1[[#This Row],[NEW RATING2]],Table1[[#This Row],[Rate]])</f>
        <v>4</v>
      </c>
      <c r="S32">
        <f>IF(Table1[[#This Row],[Rate]] =Table1[[#This Row],[AI RATE]],1, 0)</f>
        <v>0</v>
      </c>
    </row>
    <row r="33" spans="1:20" x14ac:dyDescent="0.35">
      <c r="A33">
        <v>2014</v>
      </c>
      <c r="B33">
        <v>32</v>
      </c>
      <c r="C33">
        <v>32</v>
      </c>
      <c r="D33" t="s">
        <v>35</v>
      </c>
      <c r="E33" t="s">
        <v>36</v>
      </c>
      <c r="F33" t="s">
        <v>195</v>
      </c>
      <c r="G33">
        <v>3</v>
      </c>
      <c r="H33" t="s">
        <v>14</v>
      </c>
      <c r="I33" t="s">
        <v>118</v>
      </c>
      <c r="J33" t="s">
        <v>151</v>
      </c>
      <c r="K33" t="s">
        <v>152</v>
      </c>
      <c r="L33" t="s">
        <v>153</v>
      </c>
      <c r="M33" t="s">
        <v>154</v>
      </c>
      <c r="N33" t="s">
        <v>155</v>
      </c>
      <c r="O33">
        <v>2</v>
      </c>
      <c r="P33" t="s">
        <v>18</v>
      </c>
      <c r="Q33">
        <f>ABS(Table1[[#This Row],[Rate]]-Table1[[#This Row],[AI RATE]])</f>
        <v>1</v>
      </c>
      <c r="R33">
        <f>IF(Table1[[#This Row],[NEW RATING2]]&gt;0, Table1[[#This Row],[NEW RATING2]],Table1[[#This Row],[Rate]])</f>
        <v>3</v>
      </c>
      <c r="S33">
        <f>IF(Table1[[#This Row],[Rate]] =Table1[[#This Row],[AI RATE]],1, 0)</f>
        <v>0</v>
      </c>
    </row>
    <row r="34" spans="1:20" x14ac:dyDescent="0.35">
      <c r="A34">
        <v>2015</v>
      </c>
      <c r="B34">
        <v>1</v>
      </c>
      <c r="C34">
        <v>1</v>
      </c>
      <c r="D34" t="s">
        <v>30</v>
      </c>
      <c r="E34" t="s">
        <v>31</v>
      </c>
      <c r="F34" t="s">
        <v>196</v>
      </c>
      <c r="G34">
        <v>3</v>
      </c>
      <c r="H34" t="s">
        <v>14</v>
      </c>
      <c r="I34" t="s">
        <v>64</v>
      </c>
      <c r="J34" t="s">
        <v>603</v>
      </c>
      <c r="K34" t="s">
        <v>198</v>
      </c>
      <c r="L34" t="s">
        <v>199</v>
      </c>
      <c r="M34" t="s">
        <v>154</v>
      </c>
      <c r="N34" t="s">
        <v>200</v>
      </c>
      <c r="O34">
        <v>2</v>
      </c>
      <c r="P34" t="s">
        <v>18</v>
      </c>
      <c r="Q34">
        <f>ABS(Table1[[#This Row],[Rate]]-Table1[[#This Row],[AI RATE]])</f>
        <v>1</v>
      </c>
      <c r="R34">
        <f>IF(Table1[[#This Row],[NEW RATING2]]&gt;0, Table1[[#This Row],[NEW RATING2]],Table1[[#This Row],[Rate]])</f>
        <v>3</v>
      </c>
      <c r="S34">
        <f>IF(Table1[[#This Row],[Rate]] =Table1[[#This Row],[AI RATE]],1, 0)</f>
        <v>0</v>
      </c>
    </row>
    <row r="35" spans="1:20" x14ac:dyDescent="0.35">
      <c r="A35">
        <v>2015</v>
      </c>
      <c r="B35">
        <v>2</v>
      </c>
      <c r="C35">
        <v>2</v>
      </c>
      <c r="D35" t="s">
        <v>32</v>
      </c>
      <c r="E35" t="s">
        <v>33</v>
      </c>
      <c r="F35" t="s">
        <v>201</v>
      </c>
      <c r="G35">
        <v>3</v>
      </c>
      <c r="H35" t="s">
        <v>14</v>
      </c>
      <c r="I35" t="s">
        <v>106</v>
      </c>
      <c r="J35" t="s">
        <v>603</v>
      </c>
      <c r="K35" t="s">
        <v>202</v>
      </c>
      <c r="L35" t="s">
        <v>199</v>
      </c>
      <c r="M35" t="s">
        <v>154</v>
      </c>
      <c r="N35" t="s">
        <v>200</v>
      </c>
      <c r="O35">
        <v>2</v>
      </c>
      <c r="P35" t="s">
        <v>18</v>
      </c>
      <c r="Q35">
        <f>ABS(Table1[[#This Row],[Rate]]-Table1[[#This Row],[AI RATE]])</f>
        <v>1</v>
      </c>
      <c r="R35">
        <f>IF(Table1[[#This Row],[NEW RATING2]]&gt;0, Table1[[#This Row],[NEW RATING2]],Table1[[#This Row],[Rate]])</f>
        <v>3</v>
      </c>
      <c r="S35">
        <f>IF(Table1[[#This Row],[Rate]] =Table1[[#This Row],[AI RATE]],1, 0)</f>
        <v>0</v>
      </c>
    </row>
    <row r="36" spans="1:20" x14ac:dyDescent="0.35">
      <c r="A36">
        <v>2015</v>
      </c>
      <c r="B36">
        <v>3</v>
      </c>
      <c r="C36">
        <v>3</v>
      </c>
      <c r="D36" t="s">
        <v>71</v>
      </c>
      <c r="E36" t="s">
        <v>72</v>
      </c>
      <c r="F36" t="s">
        <v>203</v>
      </c>
      <c r="G36">
        <v>3</v>
      </c>
      <c r="H36" t="s">
        <v>48</v>
      </c>
      <c r="I36" t="s">
        <v>120</v>
      </c>
      <c r="J36" t="s">
        <v>603</v>
      </c>
      <c r="K36" t="s">
        <v>172</v>
      </c>
      <c r="L36" t="s">
        <v>16</v>
      </c>
      <c r="M36" t="s">
        <v>17</v>
      </c>
      <c r="O36">
        <v>3</v>
      </c>
      <c r="P36" t="s">
        <v>18</v>
      </c>
      <c r="Q36">
        <f>ABS(Table1[[#This Row],[Rate]]-Table1[[#This Row],[AI RATE]])</f>
        <v>0</v>
      </c>
      <c r="R36">
        <f>IF(Table1[[#This Row],[NEW RATING2]]&gt;0, Table1[[#This Row],[NEW RATING2]],Table1[[#This Row],[Rate]])</f>
        <v>3</v>
      </c>
      <c r="S36">
        <f>IF(Table1[[#This Row],[Rate]] =Table1[[#This Row],[AI RATE]],1, 0)</f>
        <v>1</v>
      </c>
    </row>
    <row r="37" spans="1:20" x14ac:dyDescent="0.35">
      <c r="A37">
        <v>2015</v>
      </c>
      <c r="B37">
        <v>4</v>
      </c>
      <c r="C37">
        <v>4</v>
      </c>
      <c r="D37" t="s">
        <v>76</v>
      </c>
      <c r="E37" t="s">
        <v>77</v>
      </c>
      <c r="F37" t="s">
        <v>204</v>
      </c>
      <c r="G37">
        <v>4</v>
      </c>
      <c r="H37" t="s">
        <v>25</v>
      </c>
      <c r="I37" t="s">
        <v>133</v>
      </c>
      <c r="J37" t="s">
        <v>603</v>
      </c>
      <c r="K37" t="s">
        <v>172</v>
      </c>
      <c r="L37" t="s">
        <v>16</v>
      </c>
      <c r="M37" t="s">
        <v>17</v>
      </c>
      <c r="O37">
        <v>4</v>
      </c>
      <c r="P37" t="s">
        <v>18</v>
      </c>
      <c r="Q37">
        <f>ABS(Table1[[#This Row],[Rate]]-Table1[[#This Row],[AI RATE]])</f>
        <v>0</v>
      </c>
      <c r="R37">
        <f>IF(Table1[[#This Row],[NEW RATING2]]&gt;0, Table1[[#This Row],[NEW RATING2]],Table1[[#This Row],[Rate]])</f>
        <v>4</v>
      </c>
      <c r="S37">
        <f>IF(Table1[[#This Row],[Rate]] =Table1[[#This Row],[AI RATE]],1, 0)</f>
        <v>1</v>
      </c>
    </row>
    <row r="38" spans="1:20" x14ac:dyDescent="0.35">
      <c r="A38">
        <v>2015</v>
      </c>
      <c r="B38">
        <v>5</v>
      </c>
      <c r="C38">
        <v>5</v>
      </c>
      <c r="D38" t="s">
        <v>40</v>
      </c>
      <c r="E38" t="s">
        <v>41</v>
      </c>
      <c r="F38" t="s">
        <v>205</v>
      </c>
      <c r="G38">
        <v>5</v>
      </c>
      <c r="H38" t="s">
        <v>55</v>
      </c>
      <c r="I38" t="s">
        <v>109</v>
      </c>
      <c r="J38" t="s">
        <v>151</v>
      </c>
      <c r="K38" t="s">
        <v>152</v>
      </c>
      <c r="L38" t="s">
        <v>153</v>
      </c>
      <c r="M38" t="s">
        <v>154</v>
      </c>
      <c r="N38" t="s">
        <v>200</v>
      </c>
      <c r="O38">
        <v>4</v>
      </c>
      <c r="P38" t="s">
        <v>18</v>
      </c>
      <c r="Q38">
        <f>ABS(Table1[[#This Row],[Rate]]-Table1[[#This Row],[AI RATE]])</f>
        <v>1</v>
      </c>
      <c r="R38">
        <f>IF(Table1[[#This Row],[NEW RATING2]]&gt;0, Table1[[#This Row],[NEW RATING2]],Table1[[#This Row],[Rate]])</f>
        <v>5</v>
      </c>
      <c r="S38">
        <f>IF(Table1[[#This Row],[Rate]] =Table1[[#This Row],[AI RATE]],1, 0)</f>
        <v>0</v>
      </c>
    </row>
    <row r="39" spans="1:20" x14ac:dyDescent="0.35">
      <c r="A39">
        <v>2015</v>
      </c>
      <c r="B39">
        <v>6</v>
      </c>
      <c r="C39">
        <v>6</v>
      </c>
      <c r="D39" t="s">
        <v>99</v>
      </c>
      <c r="E39" t="s">
        <v>100</v>
      </c>
      <c r="F39" t="s">
        <v>206</v>
      </c>
      <c r="G39">
        <v>5</v>
      </c>
      <c r="H39" t="s">
        <v>48</v>
      </c>
      <c r="I39" t="s">
        <v>45</v>
      </c>
      <c r="J39" t="s">
        <v>151</v>
      </c>
      <c r="K39" t="s">
        <v>152</v>
      </c>
      <c r="L39" t="s">
        <v>153</v>
      </c>
      <c r="M39" t="s">
        <v>154</v>
      </c>
      <c r="N39" t="s">
        <v>200</v>
      </c>
      <c r="O39">
        <v>4</v>
      </c>
      <c r="P39" t="s">
        <v>18</v>
      </c>
      <c r="Q39">
        <f>ABS(Table1[[#This Row],[Rate]]-Table1[[#This Row],[AI RATE]])</f>
        <v>1</v>
      </c>
      <c r="R39">
        <f>IF(Table1[[#This Row],[NEW RATING2]]&gt;0, Table1[[#This Row],[NEW RATING2]],Table1[[#This Row],[Rate]])</f>
        <v>5</v>
      </c>
      <c r="S39">
        <f>IF(Table1[[#This Row],[Rate]] =Table1[[#This Row],[AI RATE]],1, 0)</f>
        <v>0</v>
      </c>
    </row>
    <row r="40" spans="1:20" x14ac:dyDescent="0.35">
      <c r="A40">
        <v>2015</v>
      </c>
      <c r="B40">
        <v>7</v>
      </c>
      <c r="C40">
        <v>7</v>
      </c>
      <c r="D40" t="s">
        <v>27</v>
      </c>
      <c r="E40" t="s">
        <v>28</v>
      </c>
      <c r="F40" t="s">
        <v>207</v>
      </c>
      <c r="G40">
        <v>1</v>
      </c>
      <c r="H40" t="s">
        <v>25</v>
      </c>
      <c r="I40" t="s">
        <v>34</v>
      </c>
      <c r="J40" t="s">
        <v>151</v>
      </c>
      <c r="K40" t="s">
        <v>152</v>
      </c>
      <c r="L40" t="s">
        <v>153</v>
      </c>
      <c r="M40" t="s">
        <v>154</v>
      </c>
      <c r="N40" t="s">
        <v>200</v>
      </c>
      <c r="O40">
        <v>1</v>
      </c>
      <c r="P40" t="s">
        <v>18</v>
      </c>
      <c r="Q40">
        <f>ABS(Table1[[#This Row],[Rate]]-Table1[[#This Row],[AI RATE]])</f>
        <v>0</v>
      </c>
      <c r="R40">
        <f>IF(Table1[[#This Row],[NEW RATING2]]&gt;0, Table1[[#This Row],[NEW RATING2]],Table1[[#This Row],[Rate]])</f>
        <v>1</v>
      </c>
      <c r="S40">
        <f>IF(Table1[[#This Row],[Rate]] =Table1[[#This Row],[AI RATE]],1, 0)</f>
        <v>1</v>
      </c>
    </row>
    <row r="41" spans="1:20" x14ac:dyDescent="0.35">
      <c r="A41">
        <v>2015</v>
      </c>
      <c r="B41">
        <v>8</v>
      </c>
      <c r="C41">
        <v>8</v>
      </c>
      <c r="D41" t="s">
        <v>84</v>
      </c>
      <c r="E41" t="s">
        <v>85</v>
      </c>
      <c r="F41" t="s">
        <v>208</v>
      </c>
      <c r="G41">
        <v>3</v>
      </c>
      <c r="H41" t="s">
        <v>123</v>
      </c>
      <c r="I41" t="s">
        <v>107</v>
      </c>
      <c r="J41" t="s">
        <v>151</v>
      </c>
      <c r="K41" t="s">
        <v>152</v>
      </c>
      <c r="L41" t="s">
        <v>153</v>
      </c>
      <c r="M41" t="s">
        <v>154</v>
      </c>
      <c r="N41" t="s">
        <v>200</v>
      </c>
      <c r="O41">
        <v>3</v>
      </c>
      <c r="P41" t="s">
        <v>18</v>
      </c>
      <c r="Q41">
        <f>ABS(Table1[[#This Row],[Rate]]-Table1[[#This Row],[AI RATE]])</f>
        <v>0</v>
      </c>
      <c r="R41">
        <f>IF(Table1[[#This Row],[NEW RATING2]]&gt;0, Table1[[#This Row],[NEW RATING2]],Table1[[#This Row],[Rate]])</f>
        <v>3</v>
      </c>
      <c r="S41">
        <f>IF(Table1[[#This Row],[Rate]] =Table1[[#This Row],[AI RATE]],1, 0)</f>
        <v>1</v>
      </c>
    </row>
    <row r="42" spans="1:20" x14ac:dyDescent="0.35">
      <c r="A42">
        <v>2015</v>
      </c>
      <c r="B42">
        <v>9</v>
      </c>
      <c r="C42">
        <v>9</v>
      </c>
      <c r="D42" t="s">
        <v>115</v>
      </c>
      <c r="E42" t="s">
        <v>116</v>
      </c>
      <c r="F42" t="s">
        <v>209</v>
      </c>
      <c r="G42">
        <v>2</v>
      </c>
      <c r="H42" t="s">
        <v>55</v>
      </c>
      <c r="I42" t="s">
        <v>114</v>
      </c>
      <c r="J42" t="s">
        <v>603</v>
      </c>
      <c r="K42" t="s">
        <v>172</v>
      </c>
      <c r="L42" t="s">
        <v>16</v>
      </c>
      <c r="M42" t="s">
        <v>17</v>
      </c>
      <c r="O42">
        <v>1</v>
      </c>
      <c r="P42" t="s">
        <v>18</v>
      </c>
      <c r="Q42">
        <f>ABS(Table1[[#This Row],[Rate]]-Table1[[#This Row],[AI RATE]])</f>
        <v>1</v>
      </c>
      <c r="R42">
        <f>IF(Table1[[#This Row],[NEW RATING2]]&gt;0, Table1[[#This Row],[NEW RATING2]],Table1[[#This Row],[Rate]])</f>
        <v>2</v>
      </c>
      <c r="S42">
        <f>IF(Table1[[#This Row],[Rate]] =Table1[[#This Row],[AI RATE]],1, 0)</f>
        <v>0</v>
      </c>
    </row>
    <row r="43" spans="1:20" x14ac:dyDescent="0.35">
      <c r="A43">
        <v>2015</v>
      </c>
      <c r="B43">
        <v>10</v>
      </c>
      <c r="C43">
        <v>10</v>
      </c>
      <c r="D43" t="s">
        <v>68</v>
      </c>
      <c r="E43" t="s">
        <v>69</v>
      </c>
      <c r="F43" t="s">
        <v>210</v>
      </c>
      <c r="G43">
        <v>5</v>
      </c>
      <c r="H43" t="s">
        <v>21</v>
      </c>
      <c r="I43" t="s">
        <v>59</v>
      </c>
      <c r="J43" t="s">
        <v>151</v>
      </c>
      <c r="K43" t="s">
        <v>152</v>
      </c>
      <c r="L43" t="s">
        <v>153</v>
      </c>
      <c r="M43" t="s">
        <v>154</v>
      </c>
      <c r="N43" t="s">
        <v>200</v>
      </c>
      <c r="O43">
        <v>5</v>
      </c>
      <c r="P43" t="s">
        <v>18</v>
      </c>
      <c r="Q43">
        <f>ABS(Table1[[#This Row],[Rate]]-Table1[[#This Row],[AI RATE]])</f>
        <v>0</v>
      </c>
      <c r="R43">
        <f>IF(Table1[[#This Row],[NEW RATING2]]&gt;0, Table1[[#This Row],[NEW RATING2]],Table1[[#This Row],[Rate]])</f>
        <v>5</v>
      </c>
      <c r="S43">
        <f>IF(Table1[[#This Row],[Rate]] =Table1[[#This Row],[AI RATE]],1, 0)</f>
        <v>1</v>
      </c>
    </row>
    <row r="44" spans="1:20" x14ac:dyDescent="0.35">
      <c r="A44">
        <v>2015</v>
      </c>
      <c r="B44">
        <v>11</v>
      </c>
      <c r="C44">
        <v>11</v>
      </c>
      <c r="D44" t="s">
        <v>35</v>
      </c>
      <c r="E44" t="s">
        <v>36</v>
      </c>
      <c r="F44" t="s">
        <v>211</v>
      </c>
      <c r="G44">
        <v>2</v>
      </c>
      <c r="H44" t="s">
        <v>124</v>
      </c>
      <c r="I44" t="s">
        <v>186</v>
      </c>
      <c r="J44" t="s">
        <v>151</v>
      </c>
      <c r="K44" t="s">
        <v>152</v>
      </c>
      <c r="L44" t="s">
        <v>153</v>
      </c>
      <c r="M44" t="s">
        <v>154</v>
      </c>
      <c r="N44" t="s">
        <v>200</v>
      </c>
      <c r="O44">
        <v>3</v>
      </c>
      <c r="P44" t="s">
        <v>18</v>
      </c>
      <c r="Q44">
        <f>ABS(Table1[[#This Row],[Rate]]-Table1[[#This Row],[AI RATE]])</f>
        <v>1</v>
      </c>
      <c r="R44">
        <f>IF(Table1[[#This Row],[NEW RATING2]]&gt;0, Table1[[#This Row],[NEW RATING2]],Table1[[#This Row],[Rate]])</f>
        <v>2</v>
      </c>
      <c r="S44">
        <f>IF(Table1[[#This Row],[Rate]] =Table1[[#This Row],[AI RATE]],1, 0)</f>
        <v>0</v>
      </c>
    </row>
    <row r="45" spans="1:20" x14ac:dyDescent="0.35">
      <c r="A45">
        <v>2015</v>
      </c>
      <c r="B45">
        <v>12</v>
      </c>
      <c r="C45">
        <v>12</v>
      </c>
      <c r="D45" t="s">
        <v>23</v>
      </c>
      <c r="E45" t="s">
        <v>24</v>
      </c>
      <c r="F45" t="s">
        <v>212</v>
      </c>
      <c r="G45">
        <v>2</v>
      </c>
      <c r="H45" t="s">
        <v>86</v>
      </c>
      <c r="I45" t="s">
        <v>143</v>
      </c>
      <c r="J45" t="s">
        <v>151</v>
      </c>
      <c r="K45" t="s">
        <v>152</v>
      </c>
      <c r="L45" t="s">
        <v>153</v>
      </c>
      <c r="M45" t="s">
        <v>154</v>
      </c>
      <c r="N45" t="s">
        <v>200</v>
      </c>
      <c r="O45">
        <v>3</v>
      </c>
      <c r="P45" t="s">
        <v>18</v>
      </c>
      <c r="Q45">
        <f>ABS(Table1[[#This Row],[Rate]]-Table1[[#This Row],[AI RATE]])</f>
        <v>1</v>
      </c>
      <c r="R45">
        <f>IF(Table1[[#This Row],[NEW RATING2]]&gt;0, Table1[[#This Row],[NEW RATING2]],Table1[[#This Row],[Rate]])</f>
        <v>2</v>
      </c>
      <c r="S45">
        <f>IF(Table1[[#This Row],[Rate]] =Table1[[#This Row],[AI RATE]],1, 0)</f>
        <v>0</v>
      </c>
    </row>
    <row r="46" spans="1:20" x14ac:dyDescent="0.35">
      <c r="A46">
        <v>2015</v>
      </c>
      <c r="B46">
        <v>13</v>
      </c>
      <c r="C46">
        <v>13</v>
      </c>
      <c r="D46" t="s">
        <v>53</v>
      </c>
      <c r="E46" t="s">
        <v>54</v>
      </c>
      <c r="F46" t="s">
        <v>213</v>
      </c>
      <c r="G46">
        <v>5</v>
      </c>
      <c r="H46" t="s">
        <v>55</v>
      </c>
      <c r="I46" t="s">
        <v>147</v>
      </c>
      <c r="J46" t="s">
        <v>151</v>
      </c>
      <c r="K46" t="s">
        <v>152</v>
      </c>
      <c r="L46" t="s">
        <v>153</v>
      </c>
      <c r="M46" t="s">
        <v>154</v>
      </c>
      <c r="N46" t="s">
        <v>200</v>
      </c>
      <c r="O46">
        <v>3</v>
      </c>
      <c r="P46" t="s">
        <v>18</v>
      </c>
      <c r="Q46">
        <f>ABS(Table1[[#This Row],[Rate]]-Table1[[#This Row],[AI RATE]])</f>
        <v>2</v>
      </c>
      <c r="R46">
        <f>IF(Table1[[#This Row],[NEW RATING2]]&gt;0, Table1[[#This Row],[NEW RATING2]],Table1[[#This Row],[Rate]])</f>
        <v>4</v>
      </c>
      <c r="S46">
        <f>IF(Table1[[#This Row],[Rate]] =Table1[[#This Row],[AI RATE]],1, 0)</f>
        <v>0</v>
      </c>
      <c r="T46">
        <v>4</v>
      </c>
    </row>
    <row r="47" spans="1:20" x14ac:dyDescent="0.35">
      <c r="A47">
        <v>2015</v>
      </c>
      <c r="B47">
        <v>14</v>
      </c>
      <c r="C47">
        <v>14</v>
      </c>
      <c r="D47" t="s">
        <v>19</v>
      </c>
      <c r="E47" t="s">
        <v>20</v>
      </c>
      <c r="F47" t="s">
        <v>214</v>
      </c>
      <c r="G47">
        <v>4</v>
      </c>
      <c r="H47" t="s">
        <v>25</v>
      </c>
      <c r="I47" t="s">
        <v>118</v>
      </c>
      <c r="J47" t="s">
        <v>151</v>
      </c>
      <c r="K47" t="s">
        <v>152</v>
      </c>
      <c r="L47" t="s">
        <v>153</v>
      </c>
      <c r="M47" t="s">
        <v>154</v>
      </c>
      <c r="N47" t="s">
        <v>200</v>
      </c>
      <c r="O47">
        <v>3</v>
      </c>
      <c r="P47" t="s">
        <v>18</v>
      </c>
      <c r="Q47">
        <f>ABS(Table1[[#This Row],[Rate]]-Table1[[#This Row],[AI RATE]])</f>
        <v>1</v>
      </c>
      <c r="R47">
        <f>IF(Table1[[#This Row],[NEW RATING2]]&gt;0, Table1[[#This Row],[NEW RATING2]],Table1[[#This Row],[Rate]])</f>
        <v>4</v>
      </c>
      <c r="S47">
        <f>IF(Table1[[#This Row],[Rate]] =Table1[[#This Row],[AI RATE]],1, 0)</f>
        <v>0</v>
      </c>
    </row>
    <row r="48" spans="1:20" x14ac:dyDescent="0.35">
      <c r="A48">
        <v>2015</v>
      </c>
      <c r="B48">
        <v>15</v>
      </c>
      <c r="C48">
        <v>15</v>
      </c>
      <c r="D48" t="s">
        <v>49</v>
      </c>
      <c r="E48" t="s">
        <v>50</v>
      </c>
      <c r="F48" t="s">
        <v>215</v>
      </c>
      <c r="G48">
        <v>4</v>
      </c>
      <c r="H48" t="s">
        <v>21</v>
      </c>
      <c r="I48" t="s">
        <v>67</v>
      </c>
      <c r="J48" t="s">
        <v>151</v>
      </c>
      <c r="K48" t="s">
        <v>152</v>
      </c>
      <c r="L48" t="s">
        <v>153</v>
      </c>
      <c r="M48" t="s">
        <v>154</v>
      </c>
      <c r="N48" t="s">
        <v>200</v>
      </c>
      <c r="O48">
        <v>4</v>
      </c>
      <c r="P48" t="s">
        <v>18</v>
      </c>
      <c r="Q48">
        <f>ABS(Table1[[#This Row],[Rate]]-Table1[[#This Row],[AI RATE]])</f>
        <v>0</v>
      </c>
      <c r="R48">
        <f>IF(Table1[[#This Row],[NEW RATING2]]&gt;0, Table1[[#This Row],[NEW RATING2]],Table1[[#This Row],[Rate]])</f>
        <v>4</v>
      </c>
      <c r="S48">
        <f>IF(Table1[[#This Row],[Rate]] =Table1[[#This Row],[AI RATE]],1, 0)</f>
        <v>1</v>
      </c>
    </row>
    <row r="49" spans="1:19" x14ac:dyDescent="0.35">
      <c r="A49">
        <v>2015</v>
      </c>
      <c r="B49">
        <v>16</v>
      </c>
      <c r="C49">
        <v>16</v>
      </c>
      <c r="D49" t="s">
        <v>62</v>
      </c>
      <c r="E49" t="s">
        <v>63</v>
      </c>
      <c r="F49" t="s">
        <v>216</v>
      </c>
      <c r="G49">
        <v>3</v>
      </c>
      <c r="H49" t="s">
        <v>124</v>
      </c>
      <c r="I49" t="s">
        <v>132</v>
      </c>
      <c r="J49" t="s">
        <v>151</v>
      </c>
      <c r="K49" t="s">
        <v>152</v>
      </c>
      <c r="L49" t="s">
        <v>153</v>
      </c>
      <c r="M49" t="s">
        <v>154</v>
      </c>
      <c r="N49" t="s">
        <v>200</v>
      </c>
      <c r="O49">
        <v>2</v>
      </c>
      <c r="P49" t="s">
        <v>18</v>
      </c>
      <c r="Q49">
        <f>ABS(Table1[[#This Row],[Rate]]-Table1[[#This Row],[AI RATE]])</f>
        <v>1</v>
      </c>
      <c r="R49">
        <f>IF(Table1[[#This Row],[NEW RATING2]]&gt;0, Table1[[#This Row],[NEW RATING2]],Table1[[#This Row],[Rate]])</f>
        <v>3</v>
      </c>
      <c r="S49">
        <f>IF(Table1[[#This Row],[Rate]] =Table1[[#This Row],[AI RATE]],1, 0)</f>
        <v>0</v>
      </c>
    </row>
    <row r="50" spans="1:19" x14ac:dyDescent="0.35">
      <c r="A50">
        <v>2015</v>
      </c>
      <c r="B50">
        <v>17</v>
      </c>
      <c r="C50">
        <v>17</v>
      </c>
      <c r="D50" t="s">
        <v>12</v>
      </c>
      <c r="E50" t="s">
        <v>13</v>
      </c>
      <c r="F50" t="s">
        <v>217</v>
      </c>
      <c r="G50">
        <v>4</v>
      </c>
      <c r="H50" t="s">
        <v>48</v>
      </c>
      <c r="I50" t="s">
        <v>106</v>
      </c>
      <c r="J50" t="s">
        <v>151</v>
      </c>
      <c r="K50" t="s">
        <v>152</v>
      </c>
      <c r="L50" t="s">
        <v>153</v>
      </c>
      <c r="M50" t="s">
        <v>154</v>
      </c>
      <c r="N50" t="s">
        <v>200</v>
      </c>
      <c r="O50">
        <v>4</v>
      </c>
      <c r="P50" t="s">
        <v>18</v>
      </c>
      <c r="Q50">
        <f>ABS(Table1[[#This Row],[Rate]]-Table1[[#This Row],[AI RATE]])</f>
        <v>0</v>
      </c>
      <c r="R50">
        <f>IF(Table1[[#This Row],[NEW RATING2]]&gt;0, Table1[[#This Row],[NEW RATING2]],Table1[[#This Row],[Rate]])</f>
        <v>4</v>
      </c>
      <c r="S50">
        <f>IF(Table1[[#This Row],[Rate]] =Table1[[#This Row],[AI RATE]],1, 0)</f>
        <v>1</v>
      </c>
    </row>
    <row r="51" spans="1:19" x14ac:dyDescent="0.35">
      <c r="A51">
        <v>2015</v>
      </c>
      <c r="B51">
        <v>18</v>
      </c>
      <c r="C51">
        <v>18</v>
      </c>
      <c r="D51" t="s">
        <v>60</v>
      </c>
      <c r="E51" t="s">
        <v>61</v>
      </c>
      <c r="F51" t="s">
        <v>218</v>
      </c>
      <c r="G51">
        <v>4</v>
      </c>
      <c r="H51" t="s">
        <v>124</v>
      </c>
      <c r="I51" t="s">
        <v>143</v>
      </c>
      <c r="J51" t="s">
        <v>603</v>
      </c>
      <c r="K51" t="s">
        <v>172</v>
      </c>
      <c r="L51" t="s">
        <v>16</v>
      </c>
      <c r="M51" t="s">
        <v>17</v>
      </c>
      <c r="O51">
        <v>4</v>
      </c>
      <c r="P51" t="s">
        <v>18</v>
      </c>
      <c r="Q51">
        <f>ABS(Table1[[#This Row],[Rate]]-Table1[[#This Row],[AI RATE]])</f>
        <v>0</v>
      </c>
      <c r="R51">
        <f>IF(Table1[[#This Row],[NEW RATING2]]&gt;0, Table1[[#This Row],[NEW RATING2]],Table1[[#This Row],[Rate]])</f>
        <v>4</v>
      </c>
      <c r="S51">
        <f>IF(Table1[[#This Row],[Rate]] =Table1[[#This Row],[AI RATE]],1, 0)</f>
        <v>1</v>
      </c>
    </row>
    <row r="52" spans="1:19" x14ac:dyDescent="0.35">
      <c r="A52">
        <v>2015</v>
      </c>
      <c r="B52">
        <v>19</v>
      </c>
      <c r="C52">
        <v>19</v>
      </c>
      <c r="D52" t="s">
        <v>23</v>
      </c>
      <c r="E52" t="s">
        <v>24</v>
      </c>
      <c r="F52" t="s">
        <v>219</v>
      </c>
      <c r="G52">
        <v>1</v>
      </c>
      <c r="H52" t="s">
        <v>220</v>
      </c>
      <c r="I52" t="s">
        <v>64</v>
      </c>
      <c r="J52" t="s">
        <v>151</v>
      </c>
      <c r="K52" t="s">
        <v>152</v>
      </c>
      <c r="L52" t="s">
        <v>153</v>
      </c>
      <c r="M52" t="s">
        <v>154</v>
      </c>
      <c r="N52" t="s">
        <v>200</v>
      </c>
      <c r="O52">
        <v>2</v>
      </c>
      <c r="P52" t="s">
        <v>18</v>
      </c>
      <c r="Q52">
        <f>ABS(Table1[[#This Row],[Rate]]-Table1[[#This Row],[AI RATE]])</f>
        <v>1</v>
      </c>
      <c r="R52">
        <f>IF(Table1[[#This Row],[NEW RATING2]]&gt;0, Table1[[#This Row],[NEW RATING2]],Table1[[#This Row],[Rate]])</f>
        <v>1</v>
      </c>
      <c r="S52">
        <f>IF(Table1[[#This Row],[Rate]] =Table1[[#This Row],[AI RATE]],1, 0)</f>
        <v>0</v>
      </c>
    </row>
    <row r="53" spans="1:19" x14ac:dyDescent="0.35">
      <c r="A53">
        <v>2015</v>
      </c>
      <c r="B53">
        <v>20</v>
      </c>
      <c r="C53">
        <v>20</v>
      </c>
      <c r="D53" t="s">
        <v>93</v>
      </c>
      <c r="E53" t="s">
        <v>94</v>
      </c>
      <c r="F53" t="s">
        <v>221</v>
      </c>
      <c r="G53">
        <v>3</v>
      </c>
      <c r="H53" t="s">
        <v>25</v>
      </c>
      <c r="I53" t="s">
        <v>45</v>
      </c>
      <c r="J53" t="s">
        <v>603</v>
      </c>
      <c r="K53" t="s">
        <v>172</v>
      </c>
      <c r="L53" t="s">
        <v>16</v>
      </c>
      <c r="M53" t="s">
        <v>17</v>
      </c>
      <c r="O53">
        <v>3</v>
      </c>
      <c r="P53" t="s">
        <v>18</v>
      </c>
      <c r="Q53">
        <f>ABS(Table1[[#This Row],[Rate]]-Table1[[#This Row],[AI RATE]])</f>
        <v>0</v>
      </c>
      <c r="R53">
        <f>IF(Table1[[#This Row],[NEW RATING2]]&gt;0, Table1[[#This Row],[NEW RATING2]],Table1[[#This Row],[Rate]])</f>
        <v>3</v>
      </c>
      <c r="S53">
        <f>IF(Table1[[#This Row],[Rate]] =Table1[[#This Row],[AI RATE]],1, 0)</f>
        <v>1</v>
      </c>
    </row>
    <row r="54" spans="1:19" x14ac:dyDescent="0.35">
      <c r="A54">
        <v>2015</v>
      </c>
      <c r="B54">
        <v>21</v>
      </c>
      <c r="C54">
        <v>21</v>
      </c>
      <c r="D54" t="s">
        <v>65</v>
      </c>
      <c r="E54" t="s">
        <v>66</v>
      </c>
      <c r="F54" t="s">
        <v>222</v>
      </c>
      <c r="G54">
        <v>2</v>
      </c>
      <c r="H54" t="s">
        <v>55</v>
      </c>
      <c r="I54" t="s">
        <v>142</v>
      </c>
      <c r="J54" t="s">
        <v>151</v>
      </c>
      <c r="K54" t="s">
        <v>152</v>
      </c>
      <c r="L54" t="s">
        <v>153</v>
      </c>
      <c r="M54" t="s">
        <v>154</v>
      </c>
      <c r="N54" t="s">
        <v>200</v>
      </c>
      <c r="O54">
        <v>1</v>
      </c>
      <c r="P54" t="s">
        <v>18</v>
      </c>
      <c r="Q54">
        <f>ABS(Table1[[#This Row],[Rate]]-Table1[[#This Row],[AI RATE]])</f>
        <v>1</v>
      </c>
      <c r="R54">
        <f>IF(Table1[[#This Row],[NEW RATING2]]&gt;0, Table1[[#This Row],[NEW RATING2]],Table1[[#This Row],[Rate]])</f>
        <v>2</v>
      </c>
      <c r="S54">
        <f>IF(Table1[[#This Row],[Rate]] =Table1[[#This Row],[AI RATE]],1, 0)</f>
        <v>0</v>
      </c>
    </row>
    <row r="55" spans="1:19" x14ac:dyDescent="0.35">
      <c r="A55">
        <v>2015</v>
      </c>
      <c r="B55">
        <v>22</v>
      </c>
      <c r="C55">
        <v>22</v>
      </c>
      <c r="D55" t="s">
        <v>90</v>
      </c>
      <c r="E55" t="s">
        <v>91</v>
      </c>
      <c r="F55" t="s">
        <v>223</v>
      </c>
      <c r="G55">
        <v>4</v>
      </c>
      <c r="H55" t="s">
        <v>123</v>
      </c>
      <c r="I55" t="s">
        <v>224</v>
      </c>
      <c r="J55" t="s">
        <v>151</v>
      </c>
      <c r="K55" t="s">
        <v>152</v>
      </c>
      <c r="L55" t="s">
        <v>153</v>
      </c>
      <c r="M55" t="s">
        <v>154</v>
      </c>
      <c r="N55" t="s">
        <v>200</v>
      </c>
      <c r="O55">
        <v>4</v>
      </c>
      <c r="P55" t="s">
        <v>18</v>
      </c>
      <c r="Q55">
        <f>ABS(Table1[[#This Row],[Rate]]-Table1[[#This Row],[AI RATE]])</f>
        <v>0</v>
      </c>
      <c r="R55">
        <f>IF(Table1[[#This Row],[NEW RATING2]]&gt;0, Table1[[#This Row],[NEW RATING2]],Table1[[#This Row],[Rate]])</f>
        <v>4</v>
      </c>
      <c r="S55">
        <f>IF(Table1[[#This Row],[Rate]] =Table1[[#This Row],[AI RATE]],1, 0)</f>
        <v>1</v>
      </c>
    </row>
    <row r="56" spans="1:19" x14ac:dyDescent="0.35">
      <c r="A56">
        <v>2015</v>
      </c>
      <c r="B56">
        <v>23</v>
      </c>
      <c r="C56">
        <v>23</v>
      </c>
      <c r="D56" t="s">
        <v>104</v>
      </c>
      <c r="E56" t="s">
        <v>105</v>
      </c>
      <c r="F56" t="s">
        <v>225</v>
      </c>
      <c r="G56">
        <v>2</v>
      </c>
      <c r="H56" t="s">
        <v>123</v>
      </c>
      <c r="I56" t="s">
        <v>137</v>
      </c>
      <c r="J56" t="s">
        <v>151</v>
      </c>
      <c r="K56" t="s">
        <v>152</v>
      </c>
      <c r="L56" t="s">
        <v>153</v>
      </c>
      <c r="M56" t="s">
        <v>154</v>
      </c>
      <c r="N56" t="s">
        <v>200</v>
      </c>
      <c r="O56">
        <v>2</v>
      </c>
      <c r="P56" t="s">
        <v>18</v>
      </c>
      <c r="Q56">
        <f>ABS(Table1[[#This Row],[Rate]]-Table1[[#This Row],[AI RATE]])</f>
        <v>0</v>
      </c>
      <c r="R56">
        <f>IF(Table1[[#This Row],[NEW RATING2]]&gt;0, Table1[[#This Row],[NEW RATING2]],Table1[[#This Row],[Rate]])</f>
        <v>2</v>
      </c>
      <c r="S56">
        <f>IF(Table1[[#This Row],[Rate]] =Table1[[#This Row],[AI RATE]],1, 0)</f>
        <v>1</v>
      </c>
    </row>
    <row r="57" spans="1:19" x14ac:dyDescent="0.35">
      <c r="A57">
        <v>2015</v>
      </c>
      <c r="B57">
        <v>24</v>
      </c>
      <c r="C57">
        <v>24</v>
      </c>
      <c r="D57" t="s">
        <v>38</v>
      </c>
      <c r="E57" t="s">
        <v>39</v>
      </c>
      <c r="F57" t="s">
        <v>226</v>
      </c>
      <c r="G57">
        <v>4</v>
      </c>
      <c r="H57" t="s">
        <v>55</v>
      </c>
      <c r="I57" t="s">
        <v>120</v>
      </c>
      <c r="J57" t="s">
        <v>151</v>
      </c>
      <c r="K57" t="s">
        <v>152</v>
      </c>
      <c r="L57" t="s">
        <v>153</v>
      </c>
      <c r="M57" t="s">
        <v>154</v>
      </c>
      <c r="N57" t="s">
        <v>200</v>
      </c>
      <c r="O57">
        <v>3</v>
      </c>
      <c r="P57" t="s">
        <v>18</v>
      </c>
      <c r="Q57">
        <f>ABS(Table1[[#This Row],[Rate]]-Table1[[#This Row],[AI RATE]])</f>
        <v>1</v>
      </c>
      <c r="R57">
        <f>IF(Table1[[#This Row],[NEW RATING2]]&gt;0, Table1[[#This Row],[NEW RATING2]],Table1[[#This Row],[Rate]])</f>
        <v>4</v>
      </c>
      <c r="S57">
        <f>IF(Table1[[#This Row],[Rate]] =Table1[[#This Row],[AI RATE]],1, 0)</f>
        <v>0</v>
      </c>
    </row>
    <row r="58" spans="1:19" x14ac:dyDescent="0.35">
      <c r="A58">
        <v>2015</v>
      </c>
      <c r="B58">
        <v>25</v>
      </c>
      <c r="C58">
        <v>25</v>
      </c>
      <c r="D58" t="s">
        <v>57</v>
      </c>
      <c r="E58" t="s">
        <v>58</v>
      </c>
      <c r="F58" t="s">
        <v>227</v>
      </c>
      <c r="G58">
        <v>3</v>
      </c>
      <c r="H58" t="s">
        <v>123</v>
      </c>
      <c r="I58" t="s">
        <v>143</v>
      </c>
      <c r="J58" t="s">
        <v>603</v>
      </c>
      <c r="K58" t="s">
        <v>172</v>
      </c>
      <c r="L58" t="s">
        <v>16</v>
      </c>
      <c r="M58" t="s">
        <v>17</v>
      </c>
      <c r="O58">
        <v>3</v>
      </c>
      <c r="P58" t="s">
        <v>18</v>
      </c>
      <c r="Q58">
        <f>ABS(Table1[[#This Row],[Rate]]-Table1[[#This Row],[AI RATE]])</f>
        <v>0</v>
      </c>
      <c r="R58">
        <f>IF(Table1[[#This Row],[NEW RATING2]]&gt;0, Table1[[#This Row],[NEW RATING2]],Table1[[#This Row],[Rate]])</f>
        <v>3</v>
      </c>
      <c r="S58">
        <f>IF(Table1[[#This Row],[Rate]] =Table1[[#This Row],[AI RATE]],1, 0)</f>
        <v>1</v>
      </c>
    </row>
    <row r="59" spans="1:19" x14ac:dyDescent="0.35">
      <c r="A59">
        <v>2015</v>
      </c>
      <c r="B59">
        <v>26</v>
      </c>
      <c r="C59">
        <v>26</v>
      </c>
      <c r="D59" t="s">
        <v>74</v>
      </c>
      <c r="E59" t="s">
        <v>75</v>
      </c>
      <c r="F59" t="s">
        <v>228</v>
      </c>
      <c r="G59">
        <v>2</v>
      </c>
      <c r="H59" t="s">
        <v>25</v>
      </c>
      <c r="I59" t="s">
        <v>158</v>
      </c>
      <c r="J59" t="s">
        <v>151</v>
      </c>
      <c r="K59" t="s">
        <v>152</v>
      </c>
      <c r="L59" t="s">
        <v>153</v>
      </c>
      <c r="M59" t="s">
        <v>154</v>
      </c>
      <c r="N59" t="s">
        <v>200</v>
      </c>
      <c r="O59">
        <v>2</v>
      </c>
      <c r="P59" t="s">
        <v>18</v>
      </c>
      <c r="Q59">
        <f>ABS(Table1[[#This Row],[Rate]]-Table1[[#This Row],[AI RATE]])</f>
        <v>0</v>
      </c>
      <c r="R59">
        <f>IF(Table1[[#This Row],[NEW RATING2]]&gt;0, Table1[[#This Row],[NEW RATING2]],Table1[[#This Row],[Rate]])</f>
        <v>2</v>
      </c>
      <c r="S59">
        <f>IF(Table1[[#This Row],[Rate]] =Table1[[#This Row],[AI RATE]],1, 0)</f>
        <v>1</v>
      </c>
    </row>
    <row r="60" spans="1:19" x14ac:dyDescent="0.35">
      <c r="A60">
        <v>2015</v>
      </c>
      <c r="B60">
        <v>27</v>
      </c>
      <c r="C60">
        <v>27</v>
      </c>
      <c r="D60" t="s">
        <v>46</v>
      </c>
      <c r="E60" t="s">
        <v>47</v>
      </c>
      <c r="F60" t="s">
        <v>229</v>
      </c>
      <c r="G60">
        <v>4</v>
      </c>
      <c r="H60" t="s">
        <v>124</v>
      </c>
      <c r="I60" t="s">
        <v>139</v>
      </c>
      <c r="J60" t="s">
        <v>151</v>
      </c>
      <c r="K60" t="s">
        <v>152</v>
      </c>
      <c r="L60" t="s">
        <v>153</v>
      </c>
      <c r="M60" t="s">
        <v>154</v>
      </c>
      <c r="N60" t="s">
        <v>200</v>
      </c>
      <c r="O60">
        <v>4</v>
      </c>
      <c r="P60" t="s">
        <v>18</v>
      </c>
      <c r="Q60">
        <f>ABS(Table1[[#This Row],[Rate]]-Table1[[#This Row],[AI RATE]])</f>
        <v>0</v>
      </c>
      <c r="R60">
        <f>IF(Table1[[#This Row],[NEW RATING2]]&gt;0, Table1[[#This Row],[NEW RATING2]],Table1[[#This Row],[Rate]])</f>
        <v>4</v>
      </c>
      <c r="S60">
        <f>IF(Table1[[#This Row],[Rate]] =Table1[[#This Row],[AI RATE]],1, 0)</f>
        <v>1</v>
      </c>
    </row>
    <row r="61" spans="1:19" x14ac:dyDescent="0.35">
      <c r="A61">
        <v>2015</v>
      </c>
      <c r="B61">
        <v>28</v>
      </c>
      <c r="C61">
        <v>28</v>
      </c>
      <c r="D61" t="s">
        <v>42</v>
      </c>
      <c r="E61" t="s">
        <v>43</v>
      </c>
      <c r="F61" t="s">
        <v>230</v>
      </c>
      <c r="G61">
        <v>4</v>
      </c>
      <c r="H61" t="s">
        <v>97</v>
      </c>
      <c r="I61" t="s">
        <v>231</v>
      </c>
      <c r="J61" t="s">
        <v>151</v>
      </c>
      <c r="K61" t="s">
        <v>152</v>
      </c>
      <c r="L61" t="s">
        <v>153</v>
      </c>
      <c r="M61" t="s">
        <v>154</v>
      </c>
      <c r="N61" t="s">
        <v>200</v>
      </c>
      <c r="O61">
        <v>3</v>
      </c>
      <c r="P61" t="s">
        <v>18</v>
      </c>
      <c r="Q61">
        <f>ABS(Table1[[#This Row],[Rate]]-Table1[[#This Row],[AI RATE]])</f>
        <v>1</v>
      </c>
      <c r="R61">
        <f>IF(Table1[[#This Row],[NEW RATING2]]&gt;0, Table1[[#This Row],[NEW RATING2]],Table1[[#This Row],[Rate]])</f>
        <v>4</v>
      </c>
      <c r="S61">
        <f>IF(Table1[[#This Row],[Rate]] =Table1[[#This Row],[AI RATE]],1, 0)</f>
        <v>0</v>
      </c>
    </row>
    <row r="62" spans="1:19" x14ac:dyDescent="0.35">
      <c r="A62">
        <v>2015</v>
      </c>
      <c r="B62">
        <v>29</v>
      </c>
      <c r="C62">
        <v>29</v>
      </c>
      <c r="D62" t="s">
        <v>88</v>
      </c>
      <c r="E62" t="s">
        <v>89</v>
      </c>
      <c r="F62" t="s">
        <v>232</v>
      </c>
      <c r="G62">
        <v>2</v>
      </c>
      <c r="H62" t="s">
        <v>25</v>
      </c>
      <c r="I62" t="s">
        <v>114</v>
      </c>
      <c r="J62" t="s">
        <v>603</v>
      </c>
      <c r="K62" t="s">
        <v>172</v>
      </c>
      <c r="L62" t="s">
        <v>16</v>
      </c>
      <c r="M62" t="s">
        <v>17</v>
      </c>
      <c r="O62">
        <v>2</v>
      </c>
      <c r="P62" t="s">
        <v>18</v>
      </c>
      <c r="Q62">
        <f>ABS(Table1[[#This Row],[Rate]]-Table1[[#This Row],[AI RATE]])</f>
        <v>0</v>
      </c>
      <c r="R62">
        <f>IF(Table1[[#This Row],[NEW RATING2]]&gt;0, Table1[[#This Row],[NEW RATING2]],Table1[[#This Row],[Rate]])</f>
        <v>2</v>
      </c>
      <c r="S62">
        <f>IF(Table1[[#This Row],[Rate]] =Table1[[#This Row],[AI RATE]],1, 0)</f>
        <v>1</v>
      </c>
    </row>
    <row r="63" spans="1:19" x14ac:dyDescent="0.35">
      <c r="A63">
        <v>2015</v>
      </c>
      <c r="B63">
        <v>30</v>
      </c>
      <c r="C63">
        <v>30</v>
      </c>
      <c r="D63" t="s">
        <v>78</v>
      </c>
      <c r="E63" t="s">
        <v>79</v>
      </c>
      <c r="F63" t="s">
        <v>233</v>
      </c>
      <c r="G63">
        <v>2</v>
      </c>
      <c r="H63" t="s">
        <v>130</v>
      </c>
      <c r="I63" t="s">
        <v>234</v>
      </c>
      <c r="J63" t="s">
        <v>603</v>
      </c>
      <c r="K63" t="s">
        <v>172</v>
      </c>
      <c r="L63" t="s">
        <v>16</v>
      </c>
      <c r="M63" t="s">
        <v>17</v>
      </c>
      <c r="O63">
        <v>2</v>
      </c>
      <c r="P63" t="s">
        <v>18</v>
      </c>
      <c r="Q63">
        <f>ABS(Table1[[#This Row],[Rate]]-Table1[[#This Row],[AI RATE]])</f>
        <v>0</v>
      </c>
      <c r="R63">
        <f>IF(Table1[[#This Row],[NEW RATING2]]&gt;0, Table1[[#This Row],[NEW RATING2]],Table1[[#This Row],[Rate]])</f>
        <v>2</v>
      </c>
      <c r="S63">
        <f>IF(Table1[[#This Row],[Rate]] =Table1[[#This Row],[AI RATE]],1, 0)</f>
        <v>1</v>
      </c>
    </row>
    <row r="64" spans="1:19" x14ac:dyDescent="0.35">
      <c r="A64">
        <v>2015</v>
      </c>
      <c r="B64">
        <v>31</v>
      </c>
      <c r="C64">
        <v>31</v>
      </c>
      <c r="D64" t="s">
        <v>53</v>
      </c>
      <c r="E64" t="s">
        <v>54</v>
      </c>
      <c r="F64" t="s">
        <v>235</v>
      </c>
      <c r="G64">
        <v>1</v>
      </c>
      <c r="H64" t="s">
        <v>140</v>
      </c>
      <c r="I64" t="s">
        <v>107</v>
      </c>
      <c r="J64" t="s">
        <v>603</v>
      </c>
      <c r="K64" t="s">
        <v>172</v>
      </c>
      <c r="L64" t="s">
        <v>16</v>
      </c>
      <c r="M64" t="s">
        <v>17</v>
      </c>
      <c r="O64">
        <v>1</v>
      </c>
      <c r="P64" t="s">
        <v>18</v>
      </c>
      <c r="Q64">
        <f>ABS(Table1[[#This Row],[Rate]]-Table1[[#This Row],[AI RATE]])</f>
        <v>0</v>
      </c>
      <c r="R64">
        <f>IF(Table1[[#This Row],[NEW RATING2]]&gt;0, Table1[[#This Row],[NEW RATING2]],Table1[[#This Row],[Rate]])</f>
        <v>1</v>
      </c>
      <c r="S64">
        <f>IF(Table1[[#This Row],[Rate]] =Table1[[#This Row],[AI RATE]],1, 0)</f>
        <v>1</v>
      </c>
    </row>
    <row r="65" spans="1:19" x14ac:dyDescent="0.35">
      <c r="A65">
        <v>2015</v>
      </c>
      <c r="B65">
        <v>32</v>
      </c>
      <c r="C65">
        <v>32</v>
      </c>
      <c r="D65" t="s">
        <v>95</v>
      </c>
      <c r="E65" t="s">
        <v>96</v>
      </c>
      <c r="F65" t="s">
        <v>236</v>
      </c>
      <c r="G65">
        <v>2</v>
      </c>
      <c r="H65" t="s">
        <v>86</v>
      </c>
      <c r="I65" t="s">
        <v>29</v>
      </c>
      <c r="J65" t="s">
        <v>603</v>
      </c>
      <c r="K65" t="s">
        <v>172</v>
      </c>
      <c r="L65" t="s">
        <v>16</v>
      </c>
      <c r="M65" t="s">
        <v>17</v>
      </c>
      <c r="O65">
        <v>3</v>
      </c>
      <c r="P65" t="s">
        <v>18</v>
      </c>
      <c r="Q65">
        <f>ABS(Table1[[#This Row],[Rate]]-Table1[[#This Row],[AI RATE]])</f>
        <v>1</v>
      </c>
      <c r="R65">
        <f>IF(Table1[[#This Row],[NEW RATING2]]&gt;0, Table1[[#This Row],[NEW RATING2]],Table1[[#This Row],[Rate]])</f>
        <v>2</v>
      </c>
      <c r="S65">
        <f>IF(Table1[[#This Row],[Rate]] =Table1[[#This Row],[AI RATE]],1, 0)</f>
        <v>0</v>
      </c>
    </row>
    <row r="66" spans="1:19" x14ac:dyDescent="0.35">
      <c r="A66">
        <v>2016</v>
      </c>
      <c r="B66">
        <v>1</v>
      </c>
      <c r="C66">
        <v>1</v>
      </c>
      <c r="D66" t="s">
        <v>237</v>
      </c>
      <c r="E66" t="s">
        <v>238</v>
      </c>
      <c r="F66" t="s">
        <v>239</v>
      </c>
      <c r="G66">
        <v>4</v>
      </c>
      <c r="H66" t="s">
        <v>14</v>
      </c>
      <c r="I66" t="s">
        <v>80</v>
      </c>
      <c r="J66" t="s">
        <v>151</v>
      </c>
      <c r="K66" t="s">
        <v>152</v>
      </c>
      <c r="L66" t="s">
        <v>153</v>
      </c>
      <c r="M66" t="s">
        <v>154</v>
      </c>
      <c r="N66" t="s">
        <v>240</v>
      </c>
      <c r="O66">
        <v>4</v>
      </c>
      <c r="P66" t="s">
        <v>18</v>
      </c>
      <c r="Q66">
        <f>ABS(Table1[[#This Row],[Rate]]-Table1[[#This Row],[AI RATE]])</f>
        <v>0</v>
      </c>
      <c r="R66">
        <f>IF(Table1[[#This Row],[NEW RATING2]]&gt;0, Table1[[#This Row],[NEW RATING2]],Table1[[#This Row],[Rate]])</f>
        <v>4</v>
      </c>
      <c r="S66">
        <f>IF(Table1[[#This Row],[Rate]] =Table1[[#This Row],[AI RATE]],1, 0)</f>
        <v>1</v>
      </c>
    </row>
    <row r="67" spans="1:19" x14ac:dyDescent="0.35">
      <c r="A67">
        <v>2016</v>
      </c>
      <c r="B67">
        <v>2</v>
      </c>
      <c r="C67">
        <v>2</v>
      </c>
      <c r="D67" t="s">
        <v>93</v>
      </c>
      <c r="E67" t="s">
        <v>94</v>
      </c>
      <c r="F67" t="s">
        <v>241</v>
      </c>
      <c r="G67">
        <v>3</v>
      </c>
      <c r="H67" t="s">
        <v>14</v>
      </c>
      <c r="I67" t="s">
        <v>242</v>
      </c>
      <c r="J67" t="s">
        <v>151</v>
      </c>
      <c r="K67" t="s">
        <v>152</v>
      </c>
      <c r="L67" t="s">
        <v>153</v>
      </c>
      <c r="M67" t="s">
        <v>154</v>
      </c>
      <c r="N67" t="s">
        <v>240</v>
      </c>
      <c r="O67">
        <v>3</v>
      </c>
      <c r="P67" t="s">
        <v>18</v>
      </c>
      <c r="Q67">
        <f>ABS(Table1[[#This Row],[Rate]]-Table1[[#This Row],[AI RATE]])</f>
        <v>0</v>
      </c>
      <c r="R67">
        <f>IF(Table1[[#This Row],[NEW RATING2]]&gt;0, Table1[[#This Row],[NEW RATING2]],Table1[[#This Row],[Rate]])</f>
        <v>3</v>
      </c>
      <c r="S67">
        <f>IF(Table1[[#This Row],[Rate]] =Table1[[#This Row],[AI RATE]],1, 0)</f>
        <v>1</v>
      </c>
    </row>
    <row r="68" spans="1:19" x14ac:dyDescent="0.35">
      <c r="A68">
        <v>2016</v>
      </c>
      <c r="B68">
        <v>3</v>
      </c>
      <c r="C68">
        <v>3</v>
      </c>
      <c r="D68" t="s">
        <v>49</v>
      </c>
      <c r="E68" t="s">
        <v>50</v>
      </c>
      <c r="F68" t="s">
        <v>243</v>
      </c>
      <c r="G68">
        <v>4</v>
      </c>
      <c r="H68" t="s">
        <v>48</v>
      </c>
      <c r="I68" t="s">
        <v>101</v>
      </c>
      <c r="J68" t="s">
        <v>151</v>
      </c>
      <c r="K68" t="s">
        <v>152</v>
      </c>
      <c r="L68" t="s">
        <v>153</v>
      </c>
      <c r="M68" t="s">
        <v>154</v>
      </c>
      <c r="N68" t="s">
        <v>240</v>
      </c>
      <c r="O68">
        <v>5</v>
      </c>
      <c r="P68" t="s">
        <v>18</v>
      </c>
      <c r="Q68">
        <f>ABS(Table1[[#This Row],[Rate]]-Table1[[#This Row],[AI RATE]])</f>
        <v>1</v>
      </c>
      <c r="R68">
        <f>IF(Table1[[#This Row],[NEW RATING2]]&gt;0, Table1[[#This Row],[NEW RATING2]],Table1[[#This Row],[Rate]])</f>
        <v>4</v>
      </c>
      <c r="S68">
        <f>IF(Table1[[#This Row],[Rate]] =Table1[[#This Row],[AI RATE]],1, 0)</f>
        <v>0</v>
      </c>
    </row>
    <row r="69" spans="1:19" x14ac:dyDescent="0.35">
      <c r="A69">
        <v>2016</v>
      </c>
      <c r="B69">
        <v>4</v>
      </c>
      <c r="C69">
        <v>4</v>
      </c>
      <c r="D69" t="s">
        <v>46</v>
      </c>
      <c r="E69" t="s">
        <v>47</v>
      </c>
      <c r="F69" t="s">
        <v>244</v>
      </c>
      <c r="G69">
        <v>5</v>
      </c>
      <c r="H69" t="s">
        <v>21</v>
      </c>
      <c r="I69" t="s">
        <v>101</v>
      </c>
      <c r="J69" t="s">
        <v>151</v>
      </c>
      <c r="K69" t="s">
        <v>152</v>
      </c>
      <c r="L69" t="s">
        <v>153</v>
      </c>
      <c r="M69" t="s">
        <v>154</v>
      </c>
      <c r="N69" t="s">
        <v>240</v>
      </c>
      <c r="O69">
        <v>4</v>
      </c>
      <c r="P69" t="s">
        <v>18</v>
      </c>
      <c r="Q69">
        <f>ABS(Table1[[#This Row],[Rate]]-Table1[[#This Row],[AI RATE]])</f>
        <v>1</v>
      </c>
      <c r="R69">
        <f>IF(Table1[[#This Row],[NEW RATING2]]&gt;0, Table1[[#This Row],[NEW RATING2]],Table1[[#This Row],[Rate]])</f>
        <v>5</v>
      </c>
      <c r="S69">
        <f>IF(Table1[[#This Row],[Rate]] =Table1[[#This Row],[AI RATE]],1, 0)</f>
        <v>0</v>
      </c>
    </row>
    <row r="70" spans="1:19" x14ac:dyDescent="0.35">
      <c r="A70">
        <v>2016</v>
      </c>
      <c r="B70">
        <v>5</v>
      </c>
      <c r="C70">
        <v>5</v>
      </c>
      <c r="D70" t="s">
        <v>71</v>
      </c>
      <c r="E70" t="s">
        <v>72</v>
      </c>
      <c r="F70" t="s">
        <v>245</v>
      </c>
      <c r="G70">
        <v>5</v>
      </c>
      <c r="H70" t="s">
        <v>124</v>
      </c>
      <c r="I70" t="s">
        <v>64</v>
      </c>
      <c r="J70" t="s">
        <v>151</v>
      </c>
      <c r="K70" t="s">
        <v>152</v>
      </c>
      <c r="L70" t="s">
        <v>153</v>
      </c>
      <c r="M70" t="s">
        <v>154</v>
      </c>
      <c r="N70" t="s">
        <v>240</v>
      </c>
      <c r="O70">
        <v>5</v>
      </c>
      <c r="P70" t="s">
        <v>18</v>
      </c>
      <c r="Q70">
        <f>ABS(Table1[[#This Row],[Rate]]-Table1[[#This Row],[AI RATE]])</f>
        <v>0</v>
      </c>
      <c r="R70">
        <f>IF(Table1[[#This Row],[NEW RATING2]]&gt;0, Table1[[#This Row],[NEW RATING2]],Table1[[#This Row],[Rate]])</f>
        <v>5</v>
      </c>
      <c r="S70">
        <f>IF(Table1[[#This Row],[Rate]] =Table1[[#This Row],[AI RATE]],1, 0)</f>
        <v>1</v>
      </c>
    </row>
    <row r="71" spans="1:19" x14ac:dyDescent="0.35">
      <c r="A71">
        <v>2016</v>
      </c>
      <c r="B71">
        <v>6</v>
      </c>
      <c r="C71">
        <v>6</v>
      </c>
      <c r="D71" t="s">
        <v>74</v>
      </c>
      <c r="E71" t="s">
        <v>75</v>
      </c>
      <c r="F71" t="s">
        <v>246</v>
      </c>
      <c r="G71">
        <v>4</v>
      </c>
      <c r="H71" t="s">
        <v>55</v>
      </c>
      <c r="I71" t="s">
        <v>121</v>
      </c>
      <c r="J71" t="s">
        <v>151</v>
      </c>
      <c r="K71" t="s">
        <v>152</v>
      </c>
      <c r="L71" t="s">
        <v>153</v>
      </c>
      <c r="M71" t="s">
        <v>154</v>
      </c>
      <c r="N71" t="s">
        <v>240</v>
      </c>
      <c r="O71">
        <v>4</v>
      </c>
      <c r="P71" t="s">
        <v>18</v>
      </c>
      <c r="Q71">
        <f>ABS(Table1[[#This Row],[Rate]]-Table1[[#This Row],[AI RATE]])</f>
        <v>0</v>
      </c>
      <c r="R71">
        <f>IF(Table1[[#This Row],[NEW RATING2]]&gt;0, Table1[[#This Row],[NEW RATING2]],Table1[[#This Row],[Rate]])</f>
        <v>4</v>
      </c>
      <c r="S71">
        <f>IF(Table1[[#This Row],[Rate]] =Table1[[#This Row],[AI RATE]],1, 0)</f>
        <v>1</v>
      </c>
    </row>
    <row r="72" spans="1:19" x14ac:dyDescent="0.35">
      <c r="A72">
        <v>2016</v>
      </c>
      <c r="B72">
        <v>7</v>
      </c>
      <c r="C72">
        <v>7</v>
      </c>
      <c r="D72" t="s">
        <v>12</v>
      </c>
      <c r="E72" t="s">
        <v>13</v>
      </c>
      <c r="F72" t="s">
        <v>247</v>
      </c>
      <c r="G72">
        <v>5</v>
      </c>
      <c r="H72" t="s">
        <v>48</v>
      </c>
      <c r="I72" t="s">
        <v>106</v>
      </c>
      <c r="J72" t="s">
        <v>603</v>
      </c>
      <c r="K72" t="s">
        <v>172</v>
      </c>
      <c r="L72" t="s">
        <v>16</v>
      </c>
      <c r="M72" t="s">
        <v>17</v>
      </c>
      <c r="O72">
        <v>5</v>
      </c>
      <c r="P72" t="s">
        <v>18</v>
      </c>
      <c r="Q72">
        <f>ABS(Table1[[#This Row],[Rate]]-Table1[[#This Row],[AI RATE]])</f>
        <v>0</v>
      </c>
      <c r="R72">
        <f>IF(Table1[[#This Row],[NEW RATING2]]&gt;0, Table1[[#This Row],[NEW RATING2]],Table1[[#This Row],[Rate]])</f>
        <v>5</v>
      </c>
      <c r="S72">
        <f>IF(Table1[[#This Row],[Rate]] =Table1[[#This Row],[AI RATE]],1, 0)</f>
        <v>1</v>
      </c>
    </row>
    <row r="73" spans="1:19" x14ac:dyDescent="0.35">
      <c r="A73">
        <v>2016</v>
      </c>
      <c r="B73">
        <v>8</v>
      </c>
      <c r="C73">
        <v>8</v>
      </c>
      <c r="D73" t="s">
        <v>32</v>
      </c>
      <c r="E73" t="s">
        <v>33</v>
      </c>
      <c r="F73" t="s">
        <v>248</v>
      </c>
      <c r="G73">
        <v>4</v>
      </c>
      <c r="H73" t="s">
        <v>55</v>
      </c>
      <c r="I73" t="s">
        <v>186</v>
      </c>
      <c r="J73" t="s">
        <v>151</v>
      </c>
      <c r="K73" t="s">
        <v>152</v>
      </c>
      <c r="L73" t="s">
        <v>153</v>
      </c>
      <c r="M73" t="s">
        <v>154</v>
      </c>
      <c r="N73" t="s">
        <v>240</v>
      </c>
      <c r="O73">
        <v>4</v>
      </c>
      <c r="P73" t="s">
        <v>18</v>
      </c>
      <c r="Q73">
        <f>ABS(Table1[[#This Row],[Rate]]-Table1[[#This Row],[AI RATE]])</f>
        <v>0</v>
      </c>
      <c r="R73">
        <f>IF(Table1[[#This Row],[NEW RATING2]]&gt;0, Table1[[#This Row],[NEW RATING2]],Table1[[#This Row],[Rate]])</f>
        <v>4</v>
      </c>
      <c r="S73">
        <f>IF(Table1[[#This Row],[Rate]] =Table1[[#This Row],[AI RATE]],1, 0)</f>
        <v>1</v>
      </c>
    </row>
    <row r="74" spans="1:19" x14ac:dyDescent="0.35">
      <c r="A74">
        <v>2016</v>
      </c>
      <c r="B74">
        <v>9</v>
      </c>
      <c r="C74">
        <v>9</v>
      </c>
      <c r="D74" t="s">
        <v>27</v>
      </c>
      <c r="E74" t="s">
        <v>28</v>
      </c>
      <c r="F74" t="s">
        <v>249</v>
      </c>
      <c r="G74">
        <v>3</v>
      </c>
      <c r="H74" t="s">
        <v>123</v>
      </c>
      <c r="I74" t="s">
        <v>59</v>
      </c>
      <c r="J74" t="s">
        <v>603</v>
      </c>
      <c r="K74" t="s">
        <v>172</v>
      </c>
      <c r="L74" t="s">
        <v>16</v>
      </c>
      <c r="M74" t="s">
        <v>17</v>
      </c>
      <c r="O74">
        <v>3</v>
      </c>
      <c r="P74" t="s">
        <v>18</v>
      </c>
      <c r="Q74">
        <f>ABS(Table1[[#This Row],[Rate]]-Table1[[#This Row],[AI RATE]])</f>
        <v>0</v>
      </c>
      <c r="R74">
        <f>IF(Table1[[#This Row],[NEW RATING2]]&gt;0, Table1[[#This Row],[NEW RATING2]],Table1[[#This Row],[Rate]])</f>
        <v>3</v>
      </c>
      <c r="S74">
        <f>IF(Table1[[#This Row],[Rate]] =Table1[[#This Row],[AI RATE]],1, 0)</f>
        <v>1</v>
      </c>
    </row>
    <row r="75" spans="1:19" x14ac:dyDescent="0.35">
      <c r="A75">
        <v>2016</v>
      </c>
      <c r="B75">
        <v>10</v>
      </c>
      <c r="C75">
        <v>10</v>
      </c>
      <c r="D75" t="s">
        <v>115</v>
      </c>
      <c r="E75" t="s">
        <v>116</v>
      </c>
      <c r="F75" t="s">
        <v>250</v>
      </c>
      <c r="G75">
        <v>2</v>
      </c>
      <c r="H75" t="s">
        <v>124</v>
      </c>
      <c r="I75" t="s">
        <v>101</v>
      </c>
      <c r="J75" t="s">
        <v>151</v>
      </c>
      <c r="K75" t="s">
        <v>152</v>
      </c>
      <c r="L75" t="s">
        <v>153</v>
      </c>
      <c r="M75" t="s">
        <v>154</v>
      </c>
      <c r="N75" t="s">
        <v>240</v>
      </c>
      <c r="O75">
        <v>2</v>
      </c>
      <c r="P75" t="s">
        <v>18</v>
      </c>
      <c r="Q75">
        <f>ABS(Table1[[#This Row],[Rate]]-Table1[[#This Row],[AI RATE]])</f>
        <v>0</v>
      </c>
      <c r="R75">
        <f>IF(Table1[[#This Row],[NEW RATING2]]&gt;0, Table1[[#This Row],[NEW RATING2]],Table1[[#This Row],[Rate]])</f>
        <v>2</v>
      </c>
      <c r="S75">
        <f>IF(Table1[[#This Row],[Rate]] =Table1[[#This Row],[AI RATE]],1, 0)</f>
        <v>1</v>
      </c>
    </row>
    <row r="76" spans="1:19" x14ac:dyDescent="0.35">
      <c r="A76">
        <v>2016</v>
      </c>
      <c r="B76">
        <v>11</v>
      </c>
      <c r="C76">
        <v>11</v>
      </c>
      <c r="D76" t="s">
        <v>30</v>
      </c>
      <c r="E76" t="s">
        <v>31</v>
      </c>
      <c r="F76" t="s">
        <v>251</v>
      </c>
      <c r="G76">
        <v>1</v>
      </c>
      <c r="H76" t="s">
        <v>124</v>
      </c>
      <c r="I76" t="s">
        <v>120</v>
      </c>
      <c r="J76" t="s">
        <v>603</v>
      </c>
      <c r="K76" t="s">
        <v>172</v>
      </c>
      <c r="L76" t="s">
        <v>16</v>
      </c>
      <c r="M76" t="s">
        <v>17</v>
      </c>
      <c r="O76">
        <v>1</v>
      </c>
      <c r="P76" t="s">
        <v>18</v>
      </c>
      <c r="Q76">
        <f>ABS(Table1[[#This Row],[Rate]]-Table1[[#This Row],[AI RATE]])</f>
        <v>0</v>
      </c>
      <c r="R76">
        <f>IF(Table1[[#This Row],[NEW RATING2]]&gt;0, Table1[[#This Row],[NEW RATING2]],Table1[[#This Row],[Rate]])</f>
        <v>1</v>
      </c>
      <c r="S76">
        <f>IF(Table1[[#This Row],[Rate]] =Table1[[#This Row],[AI RATE]],1, 0)</f>
        <v>1</v>
      </c>
    </row>
    <row r="77" spans="1:19" x14ac:dyDescent="0.35">
      <c r="A77">
        <v>2016</v>
      </c>
      <c r="B77">
        <v>12</v>
      </c>
      <c r="C77">
        <v>12</v>
      </c>
      <c r="D77" t="s">
        <v>53</v>
      </c>
      <c r="E77" t="s">
        <v>54</v>
      </c>
      <c r="F77" t="s">
        <v>252</v>
      </c>
      <c r="G77">
        <v>3</v>
      </c>
      <c r="H77" t="s">
        <v>86</v>
      </c>
      <c r="I77" t="s">
        <v>118</v>
      </c>
      <c r="J77" t="s">
        <v>603</v>
      </c>
      <c r="K77" t="s">
        <v>172</v>
      </c>
      <c r="L77" t="s">
        <v>16</v>
      </c>
      <c r="M77" t="s">
        <v>17</v>
      </c>
      <c r="O77">
        <v>3</v>
      </c>
      <c r="P77" t="s">
        <v>18</v>
      </c>
      <c r="Q77">
        <f>ABS(Table1[[#This Row],[Rate]]-Table1[[#This Row],[AI RATE]])</f>
        <v>0</v>
      </c>
      <c r="R77">
        <f>IF(Table1[[#This Row],[NEW RATING2]]&gt;0, Table1[[#This Row],[NEW RATING2]],Table1[[#This Row],[Rate]])</f>
        <v>3</v>
      </c>
      <c r="S77">
        <f>IF(Table1[[#This Row],[Rate]] =Table1[[#This Row],[AI RATE]],1, 0)</f>
        <v>1</v>
      </c>
    </row>
    <row r="78" spans="1:19" x14ac:dyDescent="0.35">
      <c r="A78">
        <v>2016</v>
      </c>
      <c r="B78">
        <v>13</v>
      </c>
      <c r="C78">
        <v>13</v>
      </c>
      <c r="D78" t="s">
        <v>19</v>
      </c>
      <c r="E78" t="s">
        <v>20</v>
      </c>
      <c r="F78" t="s">
        <v>253</v>
      </c>
      <c r="G78">
        <v>5</v>
      </c>
      <c r="H78" t="s">
        <v>55</v>
      </c>
      <c r="I78" t="s">
        <v>83</v>
      </c>
      <c r="J78" t="s">
        <v>151</v>
      </c>
      <c r="K78" t="s">
        <v>152</v>
      </c>
      <c r="L78" t="s">
        <v>153</v>
      </c>
      <c r="M78" t="s">
        <v>154</v>
      </c>
      <c r="N78" t="s">
        <v>240</v>
      </c>
      <c r="O78">
        <v>5</v>
      </c>
      <c r="P78" t="s">
        <v>18</v>
      </c>
      <c r="Q78">
        <f>ABS(Table1[[#This Row],[Rate]]-Table1[[#This Row],[AI RATE]])</f>
        <v>0</v>
      </c>
      <c r="R78">
        <f>IF(Table1[[#This Row],[NEW RATING2]]&gt;0, Table1[[#This Row],[NEW RATING2]],Table1[[#This Row],[Rate]])</f>
        <v>5</v>
      </c>
      <c r="S78">
        <f>IF(Table1[[#This Row],[Rate]] =Table1[[#This Row],[AI RATE]],1, 0)</f>
        <v>1</v>
      </c>
    </row>
    <row r="79" spans="1:19" x14ac:dyDescent="0.35">
      <c r="A79">
        <v>2016</v>
      </c>
      <c r="B79">
        <v>14</v>
      </c>
      <c r="C79">
        <v>14</v>
      </c>
      <c r="D79" t="s">
        <v>76</v>
      </c>
      <c r="E79" t="s">
        <v>77</v>
      </c>
      <c r="F79" t="s">
        <v>254</v>
      </c>
      <c r="G79">
        <v>3</v>
      </c>
      <c r="H79" t="s">
        <v>130</v>
      </c>
      <c r="I79" t="s">
        <v>34</v>
      </c>
      <c r="J79" t="s">
        <v>603</v>
      </c>
      <c r="K79" t="s">
        <v>172</v>
      </c>
      <c r="L79" t="s">
        <v>16</v>
      </c>
      <c r="M79" t="s">
        <v>17</v>
      </c>
      <c r="O79">
        <v>2</v>
      </c>
      <c r="P79" t="s">
        <v>18</v>
      </c>
      <c r="Q79">
        <f>ABS(Table1[[#This Row],[Rate]]-Table1[[#This Row],[AI RATE]])</f>
        <v>1</v>
      </c>
      <c r="R79">
        <f>IF(Table1[[#This Row],[NEW RATING2]]&gt;0, Table1[[#This Row],[NEW RATING2]],Table1[[#This Row],[Rate]])</f>
        <v>3</v>
      </c>
      <c r="S79">
        <f>IF(Table1[[#This Row],[Rate]] =Table1[[#This Row],[AI RATE]],1, 0)</f>
        <v>0</v>
      </c>
    </row>
    <row r="80" spans="1:19" x14ac:dyDescent="0.35">
      <c r="A80">
        <v>2016</v>
      </c>
      <c r="B80">
        <v>15</v>
      </c>
      <c r="C80">
        <v>15</v>
      </c>
      <c r="D80" t="s">
        <v>23</v>
      </c>
      <c r="E80" t="s">
        <v>24</v>
      </c>
      <c r="F80" t="s">
        <v>255</v>
      </c>
      <c r="G80">
        <v>1</v>
      </c>
      <c r="H80" t="s">
        <v>25</v>
      </c>
      <c r="I80" t="s">
        <v>131</v>
      </c>
      <c r="J80" t="s">
        <v>151</v>
      </c>
      <c r="K80" t="s">
        <v>152</v>
      </c>
      <c r="L80" t="s">
        <v>153</v>
      </c>
      <c r="M80" t="s">
        <v>154</v>
      </c>
      <c r="N80" t="s">
        <v>240</v>
      </c>
      <c r="O80">
        <v>1</v>
      </c>
      <c r="P80" t="s">
        <v>18</v>
      </c>
      <c r="Q80">
        <f>ABS(Table1[[#This Row],[Rate]]-Table1[[#This Row],[AI RATE]])</f>
        <v>0</v>
      </c>
      <c r="R80">
        <f>IF(Table1[[#This Row],[NEW RATING2]]&gt;0, Table1[[#This Row],[NEW RATING2]],Table1[[#This Row],[Rate]])</f>
        <v>1</v>
      </c>
      <c r="S80">
        <f>IF(Table1[[#This Row],[Rate]] =Table1[[#This Row],[AI RATE]],1, 0)</f>
        <v>1</v>
      </c>
    </row>
    <row r="81" spans="1:20" x14ac:dyDescent="0.35">
      <c r="A81">
        <v>2016</v>
      </c>
      <c r="B81">
        <v>16</v>
      </c>
      <c r="C81">
        <v>16</v>
      </c>
      <c r="D81" t="s">
        <v>42</v>
      </c>
      <c r="E81" t="s">
        <v>43</v>
      </c>
      <c r="F81" t="s">
        <v>256</v>
      </c>
      <c r="G81">
        <v>4</v>
      </c>
      <c r="H81" t="s">
        <v>55</v>
      </c>
      <c r="I81" t="s">
        <v>101</v>
      </c>
      <c r="J81" t="s">
        <v>151</v>
      </c>
      <c r="K81" t="s">
        <v>152</v>
      </c>
      <c r="L81" t="s">
        <v>153</v>
      </c>
      <c r="M81" t="s">
        <v>154</v>
      </c>
      <c r="N81" t="s">
        <v>240</v>
      </c>
      <c r="O81">
        <v>4</v>
      </c>
      <c r="P81" t="s">
        <v>18</v>
      </c>
      <c r="Q81">
        <f>ABS(Table1[[#This Row],[Rate]]-Table1[[#This Row],[AI RATE]])</f>
        <v>0</v>
      </c>
      <c r="R81">
        <f>IF(Table1[[#This Row],[NEW RATING2]]&gt;0, Table1[[#This Row],[NEW RATING2]],Table1[[#This Row],[Rate]])</f>
        <v>4</v>
      </c>
      <c r="S81">
        <f>IF(Table1[[#This Row],[Rate]] =Table1[[#This Row],[AI RATE]],1, 0)</f>
        <v>1</v>
      </c>
    </row>
    <row r="82" spans="1:20" x14ac:dyDescent="0.35">
      <c r="A82">
        <v>2016</v>
      </c>
      <c r="B82">
        <v>17</v>
      </c>
      <c r="C82">
        <v>17</v>
      </c>
      <c r="D82" t="s">
        <v>84</v>
      </c>
      <c r="E82" t="s">
        <v>85</v>
      </c>
      <c r="F82" t="s">
        <v>257</v>
      </c>
      <c r="G82">
        <v>3</v>
      </c>
      <c r="H82" t="s">
        <v>130</v>
      </c>
      <c r="I82" t="s">
        <v>120</v>
      </c>
      <c r="J82" t="s">
        <v>151</v>
      </c>
      <c r="K82" t="s">
        <v>152</v>
      </c>
      <c r="L82" t="s">
        <v>153</v>
      </c>
      <c r="M82" t="s">
        <v>154</v>
      </c>
      <c r="N82" t="s">
        <v>240</v>
      </c>
      <c r="O82">
        <v>3</v>
      </c>
      <c r="P82" t="s">
        <v>18</v>
      </c>
      <c r="Q82">
        <f>ABS(Table1[[#This Row],[Rate]]-Table1[[#This Row],[AI RATE]])</f>
        <v>0</v>
      </c>
      <c r="R82">
        <f>IF(Table1[[#This Row],[NEW RATING2]]&gt;0, Table1[[#This Row],[NEW RATING2]],Table1[[#This Row],[Rate]])</f>
        <v>3</v>
      </c>
      <c r="S82">
        <f>IF(Table1[[#This Row],[Rate]] =Table1[[#This Row],[AI RATE]],1, 0)</f>
        <v>1</v>
      </c>
    </row>
    <row r="83" spans="1:20" x14ac:dyDescent="0.35">
      <c r="A83">
        <v>2016</v>
      </c>
      <c r="B83">
        <v>18</v>
      </c>
      <c r="C83">
        <v>18</v>
      </c>
      <c r="D83" t="s">
        <v>88</v>
      </c>
      <c r="E83" t="s">
        <v>89</v>
      </c>
      <c r="F83" t="s">
        <v>258</v>
      </c>
      <c r="G83">
        <v>4</v>
      </c>
      <c r="H83" t="s">
        <v>220</v>
      </c>
      <c r="I83" t="s">
        <v>133</v>
      </c>
      <c r="J83" t="s">
        <v>603</v>
      </c>
      <c r="K83" t="s">
        <v>172</v>
      </c>
      <c r="L83" t="s">
        <v>16</v>
      </c>
      <c r="M83" t="s">
        <v>17</v>
      </c>
      <c r="O83">
        <v>4</v>
      </c>
      <c r="P83" t="s">
        <v>18</v>
      </c>
      <c r="Q83">
        <f>ABS(Table1[[#This Row],[Rate]]-Table1[[#This Row],[AI RATE]])</f>
        <v>0</v>
      </c>
      <c r="R83">
        <f>IF(Table1[[#This Row],[NEW RATING2]]&gt;0, Table1[[#This Row],[NEW RATING2]],Table1[[#This Row],[Rate]])</f>
        <v>4</v>
      </c>
      <c r="S83">
        <f>IF(Table1[[#This Row],[Rate]] =Table1[[#This Row],[AI RATE]],1, 0)</f>
        <v>1</v>
      </c>
    </row>
    <row r="84" spans="1:20" x14ac:dyDescent="0.35">
      <c r="A84">
        <v>2016</v>
      </c>
      <c r="B84">
        <v>19</v>
      </c>
      <c r="C84">
        <v>19</v>
      </c>
      <c r="D84" t="s">
        <v>102</v>
      </c>
      <c r="E84" t="s">
        <v>103</v>
      </c>
      <c r="F84" t="s">
        <v>259</v>
      </c>
      <c r="G84">
        <v>3</v>
      </c>
      <c r="H84" t="s">
        <v>48</v>
      </c>
      <c r="I84" t="s">
        <v>107</v>
      </c>
      <c r="J84" t="s">
        <v>151</v>
      </c>
      <c r="K84" t="s">
        <v>152</v>
      </c>
      <c r="L84" t="s">
        <v>153</v>
      </c>
      <c r="M84" t="s">
        <v>154</v>
      </c>
      <c r="N84" t="s">
        <v>240</v>
      </c>
      <c r="O84">
        <v>3</v>
      </c>
      <c r="P84" t="s">
        <v>18</v>
      </c>
      <c r="Q84">
        <f>ABS(Table1[[#This Row],[Rate]]-Table1[[#This Row],[AI RATE]])</f>
        <v>0</v>
      </c>
      <c r="R84">
        <f>IF(Table1[[#This Row],[NEW RATING2]]&gt;0, Table1[[#This Row],[NEW RATING2]],Table1[[#This Row],[Rate]])</f>
        <v>3</v>
      </c>
      <c r="S84">
        <f>IF(Table1[[#This Row],[Rate]] =Table1[[#This Row],[AI RATE]],1, 0)</f>
        <v>1</v>
      </c>
    </row>
    <row r="85" spans="1:20" x14ac:dyDescent="0.35">
      <c r="A85">
        <v>2016</v>
      </c>
      <c r="B85">
        <v>20</v>
      </c>
      <c r="C85">
        <v>20</v>
      </c>
      <c r="D85" t="s">
        <v>99</v>
      </c>
      <c r="E85" t="s">
        <v>100</v>
      </c>
      <c r="F85" t="s">
        <v>260</v>
      </c>
      <c r="G85">
        <v>2</v>
      </c>
      <c r="H85" t="s">
        <v>123</v>
      </c>
      <c r="I85" t="s">
        <v>101</v>
      </c>
      <c r="J85" t="s">
        <v>151</v>
      </c>
      <c r="K85" t="s">
        <v>152</v>
      </c>
      <c r="L85" t="s">
        <v>153</v>
      </c>
      <c r="M85" t="s">
        <v>154</v>
      </c>
      <c r="N85" t="s">
        <v>240</v>
      </c>
      <c r="O85">
        <v>1</v>
      </c>
      <c r="P85" t="s">
        <v>18</v>
      </c>
      <c r="Q85">
        <f>ABS(Table1[[#This Row],[Rate]]-Table1[[#This Row],[AI RATE]])</f>
        <v>1</v>
      </c>
      <c r="R85">
        <f>IF(Table1[[#This Row],[NEW RATING2]]&gt;0, Table1[[#This Row],[NEW RATING2]],Table1[[#This Row],[Rate]])</f>
        <v>2</v>
      </c>
      <c r="S85">
        <f>IF(Table1[[#This Row],[Rate]] =Table1[[#This Row],[AI RATE]],1, 0)</f>
        <v>0</v>
      </c>
    </row>
    <row r="86" spans="1:20" x14ac:dyDescent="0.35">
      <c r="A86">
        <v>2016</v>
      </c>
      <c r="B86">
        <v>21</v>
      </c>
      <c r="C86">
        <v>21</v>
      </c>
      <c r="D86" t="s">
        <v>62</v>
      </c>
      <c r="E86" t="s">
        <v>63</v>
      </c>
      <c r="F86" t="s">
        <v>261</v>
      </c>
      <c r="G86">
        <v>2</v>
      </c>
      <c r="H86" t="s">
        <v>25</v>
      </c>
      <c r="I86" t="s">
        <v>121</v>
      </c>
      <c r="J86" t="s">
        <v>603</v>
      </c>
      <c r="K86" t="s">
        <v>172</v>
      </c>
      <c r="L86" t="s">
        <v>16</v>
      </c>
      <c r="M86" t="s">
        <v>17</v>
      </c>
      <c r="O86">
        <v>3</v>
      </c>
      <c r="P86" t="s">
        <v>18</v>
      </c>
      <c r="Q86">
        <f>ABS(Table1[[#This Row],[Rate]]-Table1[[#This Row],[AI RATE]])</f>
        <v>1</v>
      </c>
      <c r="R86">
        <f>IF(Table1[[#This Row],[NEW RATING2]]&gt;0, Table1[[#This Row],[NEW RATING2]],Table1[[#This Row],[Rate]])</f>
        <v>2</v>
      </c>
      <c r="S86">
        <f>IF(Table1[[#This Row],[Rate]] =Table1[[#This Row],[AI RATE]],1, 0)</f>
        <v>0</v>
      </c>
    </row>
    <row r="87" spans="1:20" x14ac:dyDescent="0.35">
      <c r="A87">
        <v>2016</v>
      </c>
      <c r="B87">
        <v>22</v>
      </c>
      <c r="C87">
        <v>22</v>
      </c>
      <c r="D87" t="s">
        <v>40</v>
      </c>
      <c r="E87" t="s">
        <v>41</v>
      </c>
      <c r="F87" t="s">
        <v>262</v>
      </c>
      <c r="G87">
        <v>1</v>
      </c>
      <c r="H87" t="s">
        <v>25</v>
      </c>
      <c r="I87" t="s">
        <v>141</v>
      </c>
      <c r="J87" t="s">
        <v>151</v>
      </c>
      <c r="K87" t="s">
        <v>152</v>
      </c>
      <c r="L87" t="s">
        <v>153</v>
      </c>
      <c r="M87" t="s">
        <v>154</v>
      </c>
      <c r="N87" t="s">
        <v>240</v>
      </c>
      <c r="O87">
        <v>1</v>
      </c>
      <c r="P87" t="s">
        <v>18</v>
      </c>
      <c r="Q87">
        <f>ABS(Table1[[#This Row],[Rate]]-Table1[[#This Row],[AI RATE]])</f>
        <v>0</v>
      </c>
      <c r="R87">
        <f>IF(Table1[[#This Row],[NEW RATING2]]&gt;0, Table1[[#This Row],[NEW RATING2]],Table1[[#This Row],[Rate]])</f>
        <v>1</v>
      </c>
      <c r="S87">
        <f>IF(Table1[[#This Row],[Rate]] =Table1[[#This Row],[AI RATE]],1, 0)</f>
        <v>1</v>
      </c>
    </row>
    <row r="88" spans="1:20" x14ac:dyDescent="0.35">
      <c r="A88">
        <v>2016</v>
      </c>
      <c r="B88">
        <v>23</v>
      </c>
      <c r="C88">
        <v>23</v>
      </c>
      <c r="D88" t="s">
        <v>35</v>
      </c>
      <c r="E88" t="s">
        <v>36</v>
      </c>
      <c r="F88" t="s">
        <v>263</v>
      </c>
      <c r="G88">
        <v>1</v>
      </c>
      <c r="H88" t="s">
        <v>25</v>
      </c>
      <c r="I88" t="s">
        <v>83</v>
      </c>
      <c r="J88" t="s">
        <v>151</v>
      </c>
      <c r="K88" t="s">
        <v>152</v>
      </c>
      <c r="L88" t="s">
        <v>153</v>
      </c>
      <c r="M88" t="s">
        <v>154</v>
      </c>
      <c r="N88" t="s">
        <v>240</v>
      </c>
      <c r="O88">
        <v>1</v>
      </c>
      <c r="P88" t="s">
        <v>18</v>
      </c>
      <c r="Q88">
        <f>ABS(Table1[[#This Row],[Rate]]-Table1[[#This Row],[AI RATE]])</f>
        <v>0</v>
      </c>
      <c r="R88">
        <f>IF(Table1[[#This Row],[NEW RATING2]]&gt;0, Table1[[#This Row],[NEW RATING2]],Table1[[#This Row],[Rate]])</f>
        <v>1</v>
      </c>
      <c r="S88">
        <f>IF(Table1[[#This Row],[Rate]] =Table1[[#This Row],[AI RATE]],1, 0)</f>
        <v>1</v>
      </c>
    </row>
    <row r="89" spans="1:20" x14ac:dyDescent="0.35">
      <c r="A89">
        <v>2016</v>
      </c>
      <c r="B89">
        <v>24</v>
      </c>
      <c r="C89">
        <v>24</v>
      </c>
      <c r="D89" t="s">
        <v>65</v>
      </c>
      <c r="E89" t="s">
        <v>66</v>
      </c>
      <c r="F89" t="s">
        <v>264</v>
      </c>
      <c r="G89">
        <v>3</v>
      </c>
      <c r="H89" t="s">
        <v>124</v>
      </c>
      <c r="I89" t="s">
        <v>149</v>
      </c>
      <c r="J89" t="s">
        <v>603</v>
      </c>
      <c r="K89" t="s">
        <v>172</v>
      </c>
      <c r="L89" t="s">
        <v>16</v>
      </c>
      <c r="M89" t="s">
        <v>17</v>
      </c>
      <c r="O89">
        <v>3</v>
      </c>
      <c r="P89" t="s">
        <v>18</v>
      </c>
      <c r="Q89">
        <f>ABS(Table1[[#This Row],[Rate]]-Table1[[#This Row],[AI RATE]])</f>
        <v>0</v>
      </c>
      <c r="R89">
        <f>IF(Table1[[#This Row],[NEW RATING2]]&gt;0, Table1[[#This Row],[NEW RATING2]],Table1[[#This Row],[Rate]])</f>
        <v>3</v>
      </c>
      <c r="S89">
        <f>IF(Table1[[#This Row],[Rate]] =Table1[[#This Row],[AI RATE]],1, 0)</f>
        <v>1</v>
      </c>
    </row>
    <row r="90" spans="1:20" x14ac:dyDescent="0.35">
      <c r="A90">
        <v>2016</v>
      </c>
      <c r="B90">
        <v>25</v>
      </c>
      <c r="C90">
        <v>25</v>
      </c>
      <c r="D90" t="s">
        <v>90</v>
      </c>
      <c r="E90" t="s">
        <v>91</v>
      </c>
      <c r="F90" t="s">
        <v>265</v>
      </c>
      <c r="G90">
        <v>1</v>
      </c>
      <c r="H90" t="s">
        <v>124</v>
      </c>
      <c r="I90" t="s">
        <v>114</v>
      </c>
      <c r="J90" t="s">
        <v>603</v>
      </c>
      <c r="K90" t="s">
        <v>172</v>
      </c>
      <c r="L90" t="s">
        <v>16</v>
      </c>
      <c r="M90" t="s">
        <v>17</v>
      </c>
      <c r="O90">
        <v>2</v>
      </c>
      <c r="P90" t="s">
        <v>18</v>
      </c>
      <c r="Q90">
        <f>ABS(Table1[[#This Row],[Rate]]-Table1[[#This Row],[AI RATE]])</f>
        <v>1</v>
      </c>
      <c r="R90">
        <f>IF(Table1[[#This Row],[NEW RATING2]]&gt;0, Table1[[#This Row],[NEW RATING2]],Table1[[#This Row],[Rate]])</f>
        <v>1</v>
      </c>
      <c r="S90">
        <f>IF(Table1[[#This Row],[Rate]] =Table1[[#This Row],[AI RATE]],1, 0)</f>
        <v>0</v>
      </c>
    </row>
    <row r="91" spans="1:20" x14ac:dyDescent="0.35">
      <c r="A91">
        <v>2016</v>
      </c>
      <c r="B91">
        <v>26</v>
      </c>
      <c r="C91">
        <v>26</v>
      </c>
      <c r="D91" t="s">
        <v>104</v>
      </c>
      <c r="E91" t="s">
        <v>105</v>
      </c>
      <c r="F91" t="s">
        <v>266</v>
      </c>
      <c r="G91">
        <v>1</v>
      </c>
      <c r="H91" t="s">
        <v>14</v>
      </c>
      <c r="I91" t="s">
        <v>112</v>
      </c>
      <c r="J91" t="s">
        <v>603</v>
      </c>
      <c r="K91" t="s">
        <v>172</v>
      </c>
      <c r="L91" t="s">
        <v>16</v>
      </c>
      <c r="M91" t="s">
        <v>17</v>
      </c>
      <c r="O91">
        <v>1</v>
      </c>
      <c r="P91" t="s">
        <v>18</v>
      </c>
      <c r="Q91">
        <f>ABS(Table1[[#This Row],[Rate]]-Table1[[#This Row],[AI RATE]])</f>
        <v>0</v>
      </c>
      <c r="R91">
        <f>IF(Table1[[#This Row],[NEW RATING2]]&gt;0, Table1[[#This Row],[NEW RATING2]],Table1[[#This Row],[Rate]])</f>
        <v>1</v>
      </c>
      <c r="S91">
        <f>IF(Table1[[#This Row],[Rate]] =Table1[[#This Row],[AI RATE]],1, 0)</f>
        <v>1</v>
      </c>
    </row>
    <row r="92" spans="1:20" x14ac:dyDescent="0.35">
      <c r="A92">
        <v>2016</v>
      </c>
      <c r="B92">
        <v>27</v>
      </c>
      <c r="C92">
        <v>27</v>
      </c>
      <c r="D92" t="s">
        <v>78</v>
      </c>
      <c r="E92" t="s">
        <v>79</v>
      </c>
      <c r="F92" t="s">
        <v>267</v>
      </c>
      <c r="G92">
        <v>4</v>
      </c>
      <c r="H92" t="s">
        <v>86</v>
      </c>
      <c r="I92" t="s">
        <v>113</v>
      </c>
      <c r="J92" t="s">
        <v>603</v>
      </c>
      <c r="K92" t="s">
        <v>172</v>
      </c>
      <c r="L92" t="s">
        <v>16</v>
      </c>
      <c r="M92" t="s">
        <v>17</v>
      </c>
      <c r="O92">
        <v>5</v>
      </c>
      <c r="P92" t="s">
        <v>18</v>
      </c>
      <c r="Q92">
        <f>ABS(Table1[[#This Row],[Rate]]-Table1[[#This Row],[AI RATE]])</f>
        <v>1</v>
      </c>
      <c r="R92">
        <f>IF(Table1[[#This Row],[NEW RATING2]]&gt;0, Table1[[#This Row],[NEW RATING2]],Table1[[#This Row],[Rate]])</f>
        <v>4</v>
      </c>
      <c r="S92">
        <f>IF(Table1[[#This Row],[Rate]] =Table1[[#This Row],[AI RATE]],1, 0)</f>
        <v>0</v>
      </c>
    </row>
    <row r="93" spans="1:20" x14ac:dyDescent="0.35">
      <c r="A93">
        <v>2016</v>
      </c>
      <c r="B93">
        <v>28</v>
      </c>
      <c r="C93">
        <v>28</v>
      </c>
      <c r="D93" t="s">
        <v>12</v>
      </c>
      <c r="E93" t="s">
        <v>13</v>
      </c>
      <c r="F93" t="s">
        <v>268</v>
      </c>
      <c r="G93">
        <v>2</v>
      </c>
      <c r="H93" t="s">
        <v>97</v>
      </c>
      <c r="I93" t="s">
        <v>147</v>
      </c>
      <c r="J93" t="s">
        <v>603</v>
      </c>
      <c r="K93" t="s">
        <v>172</v>
      </c>
      <c r="L93" t="s">
        <v>16</v>
      </c>
      <c r="M93" t="s">
        <v>17</v>
      </c>
      <c r="O93">
        <v>1</v>
      </c>
      <c r="P93" t="s">
        <v>18</v>
      </c>
      <c r="Q93">
        <f>ABS(Table1[[#This Row],[Rate]]-Table1[[#This Row],[AI RATE]])</f>
        <v>1</v>
      </c>
      <c r="R93">
        <f>IF(Table1[[#This Row],[NEW RATING2]]&gt;0, Table1[[#This Row],[NEW RATING2]],Table1[[#This Row],[Rate]])</f>
        <v>2</v>
      </c>
      <c r="S93">
        <f>IF(Table1[[#This Row],[Rate]] =Table1[[#This Row],[AI RATE]],1, 0)</f>
        <v>0</v>
      </c>
    </row>
    <row r="94" spans="1:20" x14ac:dyDescent="0.35">
      <c r="A94">
        <v>2016</v>
      </c>
      <c r="B94">
        <v>29</v>
      </c>
      <c r="C94">
        <v>29</v>
      </c>
      <c r="D94" t="s">
        <v>38</v>
      </c>
      <c r="E94" t="s">
        <v>39</v>
      </c>
      <c r="F94" t="s">
        <v>269</v>
      </c>
      <c r="G94">
        <v>2</v>
      </c>
      <c r="H94" t="s">
        <v>86</v>
      </c>
      <c r="I94" t="s">
        <v>83</v>
      </c>
      <c r="J94" t="s">
        <v>151</v>
      </c>
      <c r="K94" t="s">
        <v>152</v>
      </c>
      <c r="L94" t="s">
        <v>153</v>
      </c>
      <c r="M94" t="s">
        <v>154</v>
      </c>
      <c r="N94" t="s">
        <v>240</v>
      </c>
      <c r="O94">
        <v>1</v>
      </c>
      <c r="P94" t="s">
        <v>18</v>
      </c>
      <c r="Q94">
        <f>ABS(Table1[[#This Row],[Rate]]-Table1[[#This Row],[AI RATE]])</f>
        <v>1</v>
      </c>
      <c r="R94">
        <f>IF(Table1[[#This Row],[NEW RATING2]]&gt;0, Table1[[#This Row],[NEW RATING2]],Table1[[#This Row],[Rate]])</f>
        <v>2</v>
      </c>
      <c r="S94">
        <f>IF(Table1[[#This Row],[Rate]] =Table1[[#This Row],[AI RATE]],1, 0)</f>
        <v>0</v>
      </c>
    </row>
    <row r="95" spans="1:20" x14ac:dyDescent="0.35">
      <c r="A95">
        <v>2016</v>
      </c>
      <c r="B95">
        <v>30</v>
      </c>
      <c r="C95">
        <v>30</v>
      </c>
      <c r="D95" t="s">
        <v>57</v>
      </c>
      <c r="E95" t="s">
        <v>58</v>
      </c>
      <c r="F95" t="s">
        <v>270</v>
      </c>
      <c r="G95">
        <v>2</v>
      </c>
      <c r="H95" t="s">
        <v>86</v>
      </c>
      <c r="I95" t="s">
        <v>271</v>
      </c>
      <c r="J95" t="s">
        <v>151</v>
      </c>
      <c r="K95" t="s">
        <v>152</v>
      </c>
      <c r="L95" t="s">
        <v>153</v>
      </c>
      <c r="M95" t="s">
        <v>154</v>
      </c>
      <c r="N95" t="s">
        <v>240</v>
      </c>
      <c r="O95">
        <v>2</v>
      </c>
      <c r="P95" t="s">
        <v>18</v>
      </c>
      <c r="Q95">
        <f>ABS(Table1[[#This Row],[Rate]]-Table1[[#This Row],[AI RATE]])</f>
        <v>0</v>
      </c>
      <c r="R95">
        <f>IF(Table1[[#This Row],[NEW RATING2]]&gt;0, Table1[[#This Row],[NEW RATING2]],Table1[[#This Row],[Rate]])</f>
        <v>2</v>
      </c>
      <c r="S95">
        <f>IF(Table1[[#This Row],[Rate]] =Table1[[#This Row],[AI RATE]],1, 0)</f>
        <v>1</v>
      </c>
    </row>
    <row r="96" spans="1:20" x14ac:dyDescent="0.35">
      <c r="A96">
        <v>2016</v>
      </c>
      <c r="B96">
        <v>31</v>
      </c>
      <c r="C96">
        <v>31</v>
      </c>
      <c r="D96" t="s">
        <v>81</v>
      </c>
      <c r="E96" t="s">
        <v>82</v>
      </c>
      <c r="F96" t="s">
        <v>272</v>
      </c>
      <c r="G96">
        <v>4</v>
      </c>
      <c r="H96" t="s">
        <v>55</v>
      </c>
      <c r="I96" t="s">
        <v>142</v>
      </c>
      <c r="J96" t="s">
        <v>603</v>
      </c>
      <c r="K96" t="s">
        <v>172</v>
      </c>
      <c r="L96" t="s">
        <v>16</v>
      </c>
      <c r="M96" t="s">
        <v>17</v>
      </c>
      <c r="O96">
        <v>2</v>
      </c>
      <c r="P96" t="s">
        <v>18</v>
      </c>
      <c r="Q96">
        <f>ABS(Table1[[#This Row],[Rate]]-Table1[[#This Row],[AI RATE]])</f>
        <v>2</v>
      </c>
      <c r="R96">
        <f>IF(Table1[[#This Row],[NEW RATING2]]&gt;0, Table1[[#This Row],[NEW RATING2]],Table1[[#This Row],[Rate]])</f>
        <v>3</v>
      </c>
      <c r="S96">
        <f>IF(Table1[[#This Row],[Rate]] =Table1[[#This Row],[AI RATE]],1, 0)</f>
        <v>0</v>
      </c>
      <c r="T96">
        <v>3</v>
      </c>
    </row>
    <row r="97" spans="1:19" x14ac:dyDescent="0.35">
      <c r="A97">
        <v>2017</v>
      </c>
      <c r="B97">
        <v>1</v>
      </c>
      <c r="C97">
        <v>1</v>
      </c>
      <c r="D97" t="s">
        <v>23</v>
      </c>
      <c r="E97" t="s">
        <v>24</v>
      </c>
      <c r="F97" t="s">
        <v>273</v>
      </c>
      <c r="G97">
        <v>5</v>
      </c>
      <c r="H97" t="s">
        <v>48</v>
      </c>
      <c r="I97" t="s">
        <v>142</v>
      </c>
      <c r="J97" t="s">
        <v>603</v>
      </c>
      <c r="K97" t="s">
        <v>274</v>
      </c>
      <c r="L97" t="s">
        <v>199</v>
      </c>
      <c r="M97" t="s">
        <v>154</v>
      </c>
      <c r="N97" t="s">
        <v>275</v>
      </c>
      <c r="O97">
        <v>5</v>
      </c>
      <c r="P97" t="s">
        <v>18</v>
      </c>
      <c r="Q97">
        <f>ABS(Table1[[#This Row],[Rate]]-Table1[[#This Row],[AI RATE]])</f>
        <v>0</v>
      </c>
      <c r="R97">
        <f>IF(Table1[[#This Row],[NEW RATING2]]&gt;0, Table1[[#This Row],[NEW RATING2]],Table1[[#This Row],[Rate]])</f>
        <v>5</v>
      </c>
      <c r="S97">
        <f>IF(Table1[[#This Row],[Rate]] =Table1[[#This Row],[AI RATE]],1, 0)</f>
        <v>1</v>
      </c>
    </row>
    <row r="98" spans="1:19" x14ac:dyDescent="0.35">
      <c r="A98">
        <v>2017</v>
      </c>
      <c r="B98">
        <v>2</v>
      </c>
      <c r="C98">
        <v>2</v>
      </c>
      <c r="D98" t="s">
        <v>27</v>
      </c>
      <c r="E98" t="s">
        <v>28</v>
      </c>
      <c r="F98" t="s">
        <v>276</v>
      </c>
      <c r="G98">
        <v>2</v>
      </c>
      <c r="H98" t="s">
        <v>14</v>
      </c>
      <c r="I98" t="s">
        <v>129</v>
      </c>
      <c r="J98" t="s">
        <v>603</v>
      </c>
      <c r="K98" t="s">
        <v>172</v>
      </c>
      <c r="L98" t="s">
        <v>16</v>
      </c>
      <c r="M98" t="s">
        <v>17</v>
      </c>
      <c r="O98">
        <v>2</v>
      </c>
      <c r="P98" t="s">
        <v>18</v>
      </c>
      <c r="Q98">
        <f>ABS(Table1[[#This Row],[Rate]]-Table1[[#This Row],[AI RATE]])</f>
        <v>0</v>
      </c>
      <c r="R98">
        <f>IF(Table1[[#This Row],[NEW RATING2]]&gt;0, Table1[[#This Row],[NEW RATING2]],Table1[[#This Row],[Rate]])</f>
        <v>2</v>
      </c>
      <c r="S98">
        <f>IF(Table1[[#This Row],[Rate]] =Table1[[#This Row],[AI RATE]],1, 0)</f>
        <v>1</v>
      </c>
    </row>
    <row r="99" spans="1:19" x14ac:dyDescent="0.35">
      <c r="A99">
        <v>2017</v>
      </c>
      <c r="B99">
        <v>3</v>
      </c>
      <c r="C99">
        <v>3</v>
      </c>
      <c r="D99" t="s">
        <v>12</v>
      </c>
      <c r="E99" t="s">
        <v>13</v>
      </c>
      <c r="F99" t="s">
        <v>277</v>
      </c>
      <c r="G99">
        <v>1</v>
      </c>
      <c r="H99" t="s">
        <v>86</v>
      </c>
      <c r="I99" t="s">
        <v>147</v>
      </c>
      <c r="J99" t="s">
        <v>151</v>
      </c>
      <c r="K99" t="s">
        <v>152</v>
      </c>
      <c r="L99" t="s">
        <v>153</v>
      </c>
      <c r="M99" t="s">
        <v>154</v>
      </c>
      <c r="N99" t="s">
        <v>278</v>
      </c>
      <c r="O99">
        <v>2</v>
      </c>
      <c r="P99" t="s">
        <v>18</v>
      </c>
      <c r="Q99">
        <f>ABS(Table1[[#This Row],[Rate]]-Table1[[#This Row],[AI RATE]])</f>
        <v>1</v>
      </c>
      <c r="R99">
        <f>IF(Table1[[#This Row],[NEW RATING2]]&gt;0, Table1[[#This Row],[NEW RATING2]],Table1[[#This Row],[Rate]])</f>
        <v>1</v>
      </c>
      <c r="S99">
        <f>IF(Table1[[#This Row],[Rate]] =Table1[[#This Row],[AI RATE]],1, 0)</f>
        <v>0</v>
      </c>
    </row>
    <row r="100" spans="1:19" x14ac:dyDescent="0.35">
      <c r="A100">
        <v>2017</v>
      </c>
      <c r="B100">
        <v>4</v>
      </c>
      <c r="C100">
        <v>4</v>
      </c>
      <c r="D100" t="s">
        <v>71</v>
      </c>
      <c r="E100" t="s">
        <v>72</v>
      </c>
      <c r="F100" t="s">
        <v>279</v>
      </c>
      <c r="G100">
        <v>4</v>
      </c>
      <c r="H100" t="s">
        <v>21</v>
      </c>
      <c r="I100" t="s">
        <v>70</v>
      </c>
      <c r="J100" t="s">
        <v>151</v>
      </c>
      <c r="K100" t="s">
        <v>152</v>
      </c>
      <c r="L100" t="s">
        <v>153</v>
      </c>
      <c r="M100" t="s">
        <v>154</v>
      </c>
      <c r="N100" t="s">
        <v>278</v>
      </c>
      <c r="O100">
        <v>3</v>
      </c>
      <c r="P100" t="s">
        <v>18</v>
      </c>
      <c r="Q100">
        <f>ABS(Table1[[#This Row],[Rate]]-Table1[[#This Row],[AI RATE]])</f>
        <v>1</v>
      </c>
      <c r="R100">
        <f>IF(Table1[[#This Row],[NEW RATING2]]&gt;0, Table1[[#This Row],[NEW RATING2]],Table1[[#This Row],[Rate]])</f>
        <v>4</v>
      </c>
      <c r="S100">
        <f>IF(Table1[[#This Row],[Rate]] =Table1[[#This Row],[AI RATE]],1, 0)</f>
        <v>0</v>
      </c>
    </row>
    <row r="101" spans="1:19" x14ac:dyDescent="0.35">
      <c r="A101">
        <v>2017</v>
      </c>
      <c r="B101">
        <v>5</v>
      </c>
      <c r="C101">
        <v>5</v>
      </c>
      <c r="D101" t="s">
        <v>32</v>
      </c>
      <c r="E101" t="s">
        <v>33</v>
      </c>
      <c r="F101" t="s">
        <v>280</v>
      </c>
      <c r="G101">
        <v>3</v>
      </c>
      <c r="H101" t="s">
        <v>25</v>
      </c>
      <c r="I101" t="s">
        <v>281</v>
      </c>
      <c r="J101" t="s">
        <v>151</v>
      </c>
      <c r="K101" t="s">
        <v>152</v>
      </c>
      <c r="L101" t="s">
        <v>153</v>
      </c>
      <c r="M101" t="s">
        <v>154</v>
      </c>
      <c r="N101" t="s">
        <v>278</v>
      </c>
      <c r="O101">
        <v>2</v>
      </c>
      <c r="P101" t="s">
        <v>18</v>
      </c>
      <c r="Q101">
        <f>ABS(Table1[[#This Row],[Rate]]-Table1[[#This Row],[AI RATE]])</f>
        <v>1</v>
      </c>
      <c r="R101">
        <f>IF(Table1[[#This Row],[NEW RATING2]]&gt;0, Table1[[#This Row],[NEW RATING2]],Table1[[#This Row],[Rate]])</f>
        <v>3</v>
      </c>
      <c r="S101">
        <f>IF(Table1[[#This Row],[Rate]] =Table1[[#This Row],[AI RATE]],1, 0)</f>
        <v>0</v>
      </c>
    </row>
    <row r="102" spans="1:19" x14ac:dyDescent="0.35">
      <c r="A102">
        <v>2017</v>
      </c>
      <c r="B102">
        <v>6</v>
      </c>
      <c r="C102">
        <v>6</v>
      </c>
      <c r="D102" t="s">
        <v>99</v>
      </c>
      <c r="E102" t="s">
        <v>100</v>
      </c>
      <c r="F102" t="s">
        <v>282</v>
      </c>
      <c r="G102">
        <v>5</v>
      </c>
      <c r="H102" t="s">
        <v>130</v>
      </c>
      <c r="I102" t="s">
        <v>70</v>
      </c>
      <c r="J102" t="s">
        <v>151</v>
      </c>
      <c r="K102" t="s">
        <v>152</v>
      </c>
      <c r="L102" t="s">
        <v>153</v>
      </c>
      <c r="M102" t="s">
        <v>154</v>
      </c>
      <c r="N102" t="s">
        <v>278</v>
      </c>
      <c r="O102">
        <v>4</v>
      </c>
      <c r="P102" t="s">
        <v>18</v>
      </c>
      <c r="Q102">
        <f>ABS(Table1[[#This Row],[Rate]]-Table1[[#This Row],[AI RATE]])</f>
        <v>1</v>
      </c>
      <c r="R102">
        <f>IF(Table1[[#This Row],[NEW RATING2]]&gt;0, Table1[[#This Row],[NEW RATING2]],Table1[[#This Row],[Rate]])</f>
        <v>5</v>
      </c>
      <c r="S102">
        <f>IF(Table1[[#This Row],[Rate]] =Table1[[#This Row],[AI RATE]],1, 0)</f>
        <v>0</v>
      </c>
    </row>
    <row r="103" spans="1:19" x14ac:dyDescent="0.35">
      <c r="A103">
        <v>2017</v>
      </c>
      <c r="B103">
        <v>7</v>
      </c>
      <c r="C103">
        <v>7</v>
      </c>
      <c r="D103" t="s">
        <v>283</v>
      </c>
      <c r="E103" t="s">
        <v>284</v>
      </c>
      <c r="F103" t="s">
        <v>44</v>
      </c>
      <c r="G103">
        <v>3</v>
      </c>
      <c r="H103" t="s">
        <v>25</v>
      </c>
      <c r="I103" t="s">
        <v>107</v>
      </c>
      <c r="J103" t="s">
        <v>603</v>
      </c>
      <c r="K103" t="s">
        <v>172</v>
      </c>
      <c r="L103" t="s">
        <v>16</v>
      </c>
      <c r="M103" t="s">
        <v>17</v>
      </c>
      <c r="O103">
        <v>3</v>
      </c>
      <c r="P103" t="s">
        <v>18</v>
      </c>
      <c r="Q103">
        <f>ABS(Table1[[#This Row],[Rate]]-Table1[[#This Row],[AI RATE]])</f>
        <v>0</v>
      </c>
      <c r="R103">
        <f>IF(Table1[[#This Row],[NEW RATING2]]&gt;0, Table1[[#This Row],[NEW RATING2]],Table1[[#This Row],[Rate]])</f>
        <v>3</v>
      </c>
      <c r="S103">
        <f>IF(Table1[[#This Row],[Rate]] =Table1[[#This Row],[AI RATE]],1, 0)</f>
        <v>1</v>
      </c>
    </row>
    <row r="104" spans="1:19" x14ac:dyDescent="0.35">
      <c r="A104">
        <v>2017</v>
      </c>
      <c r="B104">
        <v>8</v>
      </c>
      <c r="C104">
        <v>8</v>
      </c>
      <c r="D104" t="s">
        <v>57</v>
      </c>
      <c r="E104" t="s">
        <v>58</v>
      </c>
      <c r="F104" t="s">
        <v>285</v>
      </c>
      <c r="G104">
        <v>5</v>
      </c>
      <c r="H104" t="s">
        <v>21</v>
      </c>
      <c r="I104" t="s">
        <v>147</v>
      </c>
      <c r="J104" t="s">
        <v>603</v>
      </c>
      <c r="K104" t="s">
        <v>172</v>
      </c>
      <c r="L104" t="s">
        <v>16</v>
      </c>
      <c r="M104" t="s">
        <v>17</v>
      </c>
      <c r="O104">
        <v>5</v>
      </c>
      <c r="P104" t="s">
        <v>18</v>
      </c>
      <c r="Q104">
        <f>ABS(Table1[[#This Row],[Rate]]-Table1[[#This Row],[AI RATE]])</f>
        <v>0</v>
      </c>
      <c r="R104">
        <f>IF(Table1[[#This Row],[NEW RATING2]]&gt;0, Table1[[#This Row],[NEW RATING2]],Table1[[#This Row],[Rate]])</f>
        <v>5</v>
      </c>
      <c r="S104">
        <f>IF(Table1[[#This Row],[Rate]] =Table1[[#This Row],[AI RATE]],1, 0)</f>
        <v>1</v>
      </c>
    </row>
    <row r="105" spans="1:19" x14ac:dyDescent="0.35">
      <c r="A105">
        <v>2017</v>
      </c>
      <c r="B105">
        <v>9</v>
      </c>
      <c r="C105">
        <v>9</v>
      </c>
      <c r="D105" t="s">
        <v>65</v>
      </c>
      <c r="E105" t="s">
        <v>66</v>
      </c>
      <c r="F105" t="s">
        <v>286</v>
      </c>
      <c r="G105">
        <v>1</v>
      </c>
      <c r="H105" t="s">
        <v>25</v>
      </c>
      <c r="I105" t="s">
        <v>143</v>
      </c>
      <c r="J105" t="s">
        <v>151</v>
      </c>
      <c r="K105" t="s">
        <v>152</v>
      </c>
      <c r="L105" t="s">
        <v>153</v>
      </c>
      <c r="M105" t="s">
        <v>154</v>
      </c>
      <c r="N105" t="s">
        <v>278</v>
      </c>
      <c r="O105">
        <v>1</v>
      </c>
      <c r="P105" t="s">
        <v>18</v>
      </c>
      <c r="Q105">
        <f>ABS(Table1[[#This Row],[Rate]]-Table1[[#This Row],[AI RATE]])</f>
        <v>0</v>
      </c>
      <c r="R105">
        <f>IF(Table1[[#This Row],[NEW RATING2]]&gt;0, Table1[[#This Row],[NEW RATING2]],Table1[[#This Row],[Rate]])</f>
        <v>1</v>
      </c>
      <c r="S105">
        <f>IF(Table1[[#This Row],[Rate]] =Table1[[#This Row],[AI RATE]],1, 0)</f>
        <v>1</v>
      </c>
    </row>
    <row r="106" spans="1:19" x14ac:dyDescent="0.35">
      <c r="A106">
        <v>2017</v>
      </c>
      <c r="B106">
        <v>10</v>
      </c>
      <c r="C106">
        <v>10</v>
      </c>
      <c r="D106" t="s">
        <v>60</v>
      </c>
      <c r="E106" t="s">
        <v>61</v>
      </c>
      <c r="F106" t="s">
        <v>287</v>
      </c>
      <c r="G106">
        <v>5</v>
      </c>
      <c r="H106" t="s">
        <v>14</v>
      </c>
      <c r="I106" t="s">
        <v>134</v>
      </c>
      <c r="J106" t="s">
        <v>603</v>
      </c>
      <c r="K106" t="s">
        <v>172</v>
      </c>
      <c r="L106" t="s">
        <v>16</v>
      </c>
      <c r="M106" t="s">
        <v>17</v>
      </c>
      <c r="O106">
        <v>5</v>
      </c>
      <c r="P106" t="s">
        <v>18</v>
      </c>
      <c r="Q106">
        <f>ABS(Table1[[#This Row],[Rate]]-Table1[[#This Row],[AI RATE]])</f>
        <v>0</v>
      </c>
      <c r="R106">
        <f>IF(Table1[[#This Row],[NEW RATING2]]&gt;0, Table1[[#This Row],[NEW RATING2]],Table1[[#This Row],[Rate]])</f>
        <v>5</v>
      </c>
      <c r="S106">
        <f>IF(Table1[[#This Row],[Rate]] =Table1[[#This Row],[AI RATE]],1, 0)</f>
        <v>1</v>
      </c>
    </row>
    <row r="107" spans="1:19" x14ac:dyDescent="0.35">
      <c r="A107">
        <v>2017</v>
      </c>
      <c r="B107">
        <v>11</v>
      </c>
      <c r="C107">
        <v>11</v>
      </c>
      <c r="D107" t="s">
        <v>53</v>
      </c>
      <c r="E107" t="s">
        <v>54</v>
      </c>
      <c r="F107" t="s">
        <v>288</v>
      </c>
      <c r="G107">
        <v>4</v>
      </c>
      <c r="H107" t="s">
        <v>124</v>
      </c>
      <c r="I107" t="s">
        <v>101</v>
      </c>
      <c r="J107" t="s">
        <v>151</v>
      </c>
      <c r="K107" t="s">
        <v>152</v>
      </c>
      <c r="L107" t="s">
        <v>153</v>
      </c>
      <c r="M107" t="s">
        <v>154</v>
      </c>
      <c r="N107" t="s">
        <v>278</v>
      </c>
      <c r="O107">
        <v>5</v>
      </c>
      <c r="P107" t="s">
        <v>18</v>
      </c>
      <c r="Q107">
        <f>ABS(Table1[[#This Row],[Rate]]-Table1[[#This Row],[AI RATE]])</f>
        <v>1</v>
      </c>
      <c r="R107">
        <f>IF(Table1[[#This Row],[NEW RATING2]]&gt;0, Table1[[#This Row],[NEW RATING2]],Table1[[#This Row],[Rate]])</f>
        <v>4</v>
      </c>
      <c r="S107">
        <f>IF(Table1[[#This Row],[Rate]] =Table1[[#This Row],[AI RATE]],1, 0)</f>
        <v>0</v>
      </c>
    </row>
    <row r="108" spans="1:19" x14ac:dyDescent="0.35">
      <c r="A108">
        <v>2017</v>
      </c>
      <c r="B108">
        <v>12</v>
      </c>
      <c r="C108">
        <v>12</v>
      </c>
      <c r="D108" t="s">
        <v>62</v>
      </c>
      <c r="E108" t="s">
        <v>63</v>
      </c>
      <c r="F108" t="s">
        <v>289</v>
      </c>
      <c r="G108">
        <v>4</v>
      </c>
      <c r="H108" t="s">
        <v>14</v>
      </c>
      <c r="I108" t="s">
        <v>107</v>
      </c>
      <c r="J108" t="s">
        <v>151</v>
      </c>
      <c r="K108" t="s">
        <v>152</v>
      </c>
      <c r="L108" t="s">
        <v>153</v>
      </c>
      <c r="M108" t="s">
        <v>154</v>
      </c>
      <c r="N108" t="s">
        <v>278</v>
      </c>
      <c r="O108">
        <v>4</v>
      </c>
      <c r="P108" t="s">
        <v>18</v>
      </c>
      <c r="Q108">
        <f>ABS(Table1[[#This Row],[Rate]]-Table1[[#This Row],[AI RATE]])</f>
        <v>0</v>
      </c>
      <c r="R108">
        <f>IF(Table1[[#This Row],[NEW RATING2]]&gt;0, Table1[[#This Row],[NEW RATING2]],Table1[[#This Row],[Rate]])</f>
        <v>4</v>
      </c>
      <c r="S108">
        <f>IF(Table1[[#This Row],[Rate]] =Table1[[#This Row],[AI RATE]],1, 0)</f>
        <v>1</v>
      </c>
    </row>
    <row r="109" spans="1:19" x14ac:dyDescent="0.35">
      <c r="A109">
        <v>2017</v>
      </c>
      <c r="B109">
        <v>13</v>
      </c>
      <c r="C109">
        <v>13</v>
      </c>
      <c r="D109" t="s">
        <v>38</v>
      </c>
      <c r="E109" t="s">
        <v>39</v>
      </c>
      <c r="F109" t="s">
        <v>290</v>
      </c>
      <c r="G109">
        <v>4</v>
      </c>
      <c r="H109" t="s">
        <v>140</v>
      </c>
      <c r="I109" t="s">
        <v>145</v>
      </c>
      <c r="J109" t="s">
        <v>151</v>
      </c>
      <c r="K109" t="s">
        <v>152</v>
      </c>
      <c r="L109" t="s">
        <v>153</v>
      </c>
      <c r="M109" t="s">
        <v>154</v>
      </c>
      <c r="N109" t="s">
        <v>278</v>
      </c>
      <c r="O109">
        <v>4</v>
      </c>
      <c r="P109" t="s">
        <v>18</v>
      </c>
      <c r="Q109">
        <f>ABS(Table1[[#This Row],[Rate]]-Table1[[#This Row],[AI RATE]])</f>
        <v>0</v>
      </c>
      <c r="R109">
        <f>IF(Table1[[#This Row],[NEW RATING2]]&gt;0, Table1[[#This Row],[NEW RATING2]],Table1[[#This Row],[Rate]])</f>
        <v>4</v>
      </c>
      <c r="S109">
        <f>IF(Table1[[#This Row],[Rate]] =Table1[[#This Row],[AI RATE]],1, 0)</f>
        <v>1</v>
      </c>
    </row>
    <row r="110" spans="1:19" x14ac:dyDescent="0.35">
      <c r="A110">
        <v>2017</v>
      </c>
      <c r="B110">
        <v>14</v>
      </c>
      <c r="C110">
        <v>14</v>
      </c>
      <c r="D110" t="s">
        <v>93</v>
      </c>
      <c r="E110" t="s">
        <v>94</v>
      </c>
      <c r="F110" t="s">
        <v>291</v>
      </c>
      <c r="G110">
        <v>2</v>
      </c>
      <c r="H110" t="s">
        <v>48</v>
      </c>
      <c r="I110" t="s">
        <v>108</v>
      </c>
      <c r="J110" t="s">
        <v>151</v>
      </c>
      <c r="K110" t="s">
        <v>152</v>
      </c>
      <c r="L110" t="s">
        <v>153</v>
      </c>
      <c r="M110" t="s">
        <v>154</v>
      </c>
      <c r="N110" t="s">
        <v>278</v>
      </c>
      <c r="O110">
        <v>3</v>
      </c>
      <c r="P110" t="s">
        <v>18</v>
      </c>
      <c r="Q110">
        <f>ABS(Table1[[#This Row],[Rate]]-Table1[[#This Row],[AI RATE]])</f>
        <v>1</v>
      </c>
      <c r="R110">
        <f>IF(Table1[[#This Row],[NEW RATING2]]&gt;0, Table1[[#This Row],[NEW RATING2]],Table1[[#This Row],[Rate]])</f>
        <v>2</v>
      </c>
      <c r="S110">
        <f>IF(Table1[[#This Row],[Rate]] =Table1[[#This Row],[AI RATE]],1, 0)</f>
        <v>0</v>
      </c>
    </row>
    <row r="111" spans="1:19" x14ac:dyDescent="0.35">
      <c r="A111">
        <v>2017</v>
      </c>
      <c r="B111">
        <v>15</v>
      </c>
      <c r="C111">
        <v>15</v>
      </c>
      <c r="D111" t="s">
        <v>88</v>
      </c>
      <c r="E111" t="s">
        <v>89</v>
      </c>
      <c r="F111" t="s">
        <v>292</v>
      </c>
      <c r="G111">
        <v>3</v>
      </c>
      <c r="H111" t="s">
        <v>130</v>
      </c>
      <c r="I111" t="s">
        <v>101</v>
      </c>
      <c r="J111" t="s">
        <v>603</v>
      </c>
      <c r="K111" t="s">
        <v>172</v>
      </c>
      <c r="L111" t="s">
        <v>16</v>
      </c>
      <c r="M111" t="s">
        <v>17</v>
      </c>
      <c r="O111">
        <v>3</v>
      </c>
      <c r="P111" t="s">
        <v>18</v>
      </c>
      <c r="Q111">
        <f>ABS(Table1[[#This Row],[Rate]]-Table1[[#This Row],[AI RATE]])</f>
        <v>0</v>
      </c>
      <c r="R111">
        <f>IF(Table1[[#This Row],[NEW RATING2]]&gt;0, Table1[[#This Row],[NEW RATING2]],Table1[[#This Row],[Rate]])</f>
        <v>3</v>
      </c>
      <c r="S111">
        <f>IF(Table1[[#This Row],[Rate]] =Table1[[#This Row],[AI RATE]],1, 0)</f>
        <v>1</v>
      </c>
    </row>
    <row r="112" spans="1:19" x14ac:dyDescent="0.35">
      <c r="A112">
        <v>2017</v>
      </c>
      <c r="B112">
        <v>16</v>
      </c>
      <c r="C112">
        <v>16</v>
      </c>
      <c r="D112" t="s">
        <v>74</v>
      </c>
      <c r="E112" t="s">
        <v>75</v>
      </c>
      <c r="F112" t="s">
        <v>293</v>
      </c>
      <c r="G112">
        <v>4</v>
      </c>
      <c r="H112" t="s">
        <v>124</v>
      </c>
      <c r="I112" t="s">
        <v>133</v>
      </c>
      <c r="J112" t="s">
        <v>603</v>
      </c>
      <c r="K112" t="s">
        <v>172</v>
      </c>
      <c r="L112" t="s">
        <v>16</v>
      </c>
      <c r="M112" t="s">
        <v>17</v>
      </c>
      <c r="O112">
        <v>5</v>
      </c>
      <c r="P112" t="s">
        <v>18</v>
      </c>
      <c r="Q112">
        <f>ABS(Table1[[#This Row],[Rate]]-Table1[[#This Row],[AI RATE]])</f>
        <v>1</v>
      </c>
      <c r="R112">
        <f>IF(Table1[[#This Row],[NEW RATING2]]&gt;0, Table1[[#This Row],[NEW RATING2]],Table1[[#This Row],[Rate]])</f>
        <v>4</v>
      </c>
      <c r="S112">
        <f>IF(Table1[[#This Row],[Rate]] =Table1[[#This Row],[AI RATE]],1, 0)</f>
        <v>0</v>
      </c>
    </row>
    <row r="113" spans="1:19" x14ac:dyDescent="0.35">
      <c r="A113">
        <v>2017</v>
      </c>
      <c r="B113">
        <v>17</v>
      </c>
      <c r="C113">
        <v>17</v>
      </c>
      <c r="D113" t="s">
        <v>40</v>
      </c>
      <c r="E113" t="s">
        <v>41</v>
      </c>
      <c r="F113" t="s">
        <v>294</v>
      </c>
      <c r="G113">
        <v>5</v>
      </c>
      <c r="H113" t="s">
        <v>86</v>
      </c>
      <c r="I113" t="s">
        <v>133</v>
      </c>
      <c r="J113" t="s">
        <v>151</v>
      </c>
      <c r="K113" t="s">
        <v>152</v>
      </c>
      <c r="L113" t="s">
        <v>153</v>
      </c>
      <c r="M113" t="s">
        <v>154</v>
      </c>
      <c r="N113" t="s">
        <v>278</v>
      </c>
      <c r="O113">
        <v>4</v>
      </c>
      <c r="P113" t="s">
        <v>18</v>
      </c>
      <c r="Q113">
        <f>ABS(Table1[[#This Row],[Rate]]-Table1[[#This Row],[AI RATE]])</f>
        <v>1</v>
      </c>
      <c r="R113">
        <f>IF(Table1[[#This Row],[NEW RATING2]]&gt;0, Table1[[#This Row],[NEW RATING2]],Table1[[#This Row],[Rate]])</f>
        <v>5</v>
      </c>
      <c r="S113">
        <f>IF(Table1[[#This Row],[Rate]] =Table1[[#This Row],[AI RATE]],1, 0)</f>
        <v>0</v>
      </c>
    </row>
    <row r="114" spans="1:19" x14ac:dyDescent="0.35">
      <c r="A114">
        <v>2017</v>
      </c>
      <c r="B114">
        <v>18</v>
      </c>
      <c r="C114">
        <v>18</v>
      </c>
      <c r="D114" t="s">
        <v>32</v>
      </c>
      <c r="E114" t="s">
        <v>33</v>
      </c>
      <c r="F114" t="s">
        <v>295</v>
      </c>
      <c r="G114">
        <v>4</v>
      </c>
      <c r="H114" t="s">
        <v>124</v>
      </c>
      <c r="I114" t="s">
        <v>45</v>
      </c>
      <c r="J114" t="s">
        <v>151</v>
      </c>
      <c r="K114" t="s">
        <v>152</v>
      </c>
      <c r="L114" t="s">
        <v>153</v>
      </c>
      <c r="M114" t="s">
        <v>154</v>
      </c>
      <c r="N114" t="s">
        <v>278</v>
      </c>
      <c r="O114">
        <v>3</v>
      </c>
      <c r="P114" t="s">
        <v>18</v>
      </c>
      <c r="Q114">
        <f>ABS(Table1[[#This Row],[Rate]]-Table1[[#This Row],[AI RATE]])</f>
        <v>1</v>
      </c>
      <c r="R114">
        <f>IF(Table1[[#This Row],[NEW RATING2]]&gt;0, Table1[[#This Row],[NEW RATING2]],Table1[[#This Row],[Rate]])</f>
        <v>4</v>
      </c>
      <c r="S114">
        <f>IF(Table1[[#This Row],[Rate]] =Table1[[#This Row],[AI RATE]],1, 0)</f>
        <v>0</v>
      </c>
    </row>
    <row r="115" spans="1:19" x14ac:dyDescent="0.35">
      <c r="A115">
        <v>2017</v>
      </c>
      <c r="B115">
        <v>19</v>
      </c>
      <c r="C115">
        <v>19</v>
      </c>
      <c r="D115" t="s">
        <v>30</v>
      </c>
      <c r="E115" t="s">
        <v>31</v>
      </c>
      <c r="F115" t="s">
        <v>296</v>
      </c>
      <c r="G115">
        <v>1</v>
      </c>
      <c r="H115" t="s">
        <v>92</v>
      </c>
      <c r="I115" t="s">
        <v>133</v>
      </c>
      <c r="J115" t="s">
        <v>603</v>
      </c>
      <c r="K115" t="s">
        <v>172</v>
      </c>
      <c r="L115" t="s">
        <v>16</v>
      </c>
      <c r="M115" t="s">
        <v>17</v>
      </c>
      <c r="O115">
        <v>2</v>
      </c>
      <c r="P115" t="s">
        <v>18</v>
      </c>
      <c r="Q115">
        <f>ABS(Table1[[#This Row],[Rate]]-Table1[[#This Row],[AI RATE]])</f>
        <v>1</v>
      </c>
      <c r="R115">
        <f>IF(Table1[[#This Row],[NEW RATING2]]&gt;0, Table1[[#This Row],[NEW RATING2]],Table1[[#This Row],[Rate]])</f>
        <v>1</v>
      </c>
      <c r="S115">
        <f>IF(Table1[[#This Row],[Rate]] =Table1[[#This Row],[AI RATE]],1, 0)</f>
        <v>0</v>
      </c>
    </row>
    <row r="116" spans="1:19" x14ac:dyDescent="0.35">
      <c r="A116">
        <v>2017</v>
      </c>
      <c r="B116">
        <v>20</v>
      </c>
      <c r="C116">
        <v>20</v>
      </c>
      <c r="D116" t="s">
        <v>104</v>
      </c>
      <c r="E116" t="s">
        <v>105</v>
      </c>
      <c r="F116" t="s">
        <v>297</v>
      </c>
      <c r="G116">
        <v>5</v>
      </c>
      <c r="H116" t="s">
        <v>55</v>
      </c>
      <c r="I116" t="s">
        <v>15</v>
      </c>
      <c r="J116" t="s">
        <v>603</v>
      </c>
      <c r="K116" t="s">
        <v>172</v>
      </c>
      <c r="L116" t="s">
        <v>16</v>
      </c>
      <c r="M116" t="s">
        <v>17</v>
      </c>
      <c r="O116">
        <v>4</v>
      </c>
      <c r="P116" t="s">
        <v>18</v>
      </c>
      <c r="Q116">
        <f>ABS(Table1[[#This Row],[Rate]]-Table1[[#This Row],[AI RATE]])</f>
        <v>1</v>
      </c>
      <c r="R116">
        <f>IF(Table1[[#This Row],[NEW RATING2]]&gt;0, Table1[[#This Row],[NEW RATING2]],Table1[[#This Row],[Rate]])</f>
        <v>5</v>
      </c>
      <c r="S116">
        <f>IF(Table1[[#This Row],[Rate]] =Table1[[#This Row],[AI RATE]],1, 0)</f>
        <v>0</v>
      </c>
    </row>
    <row r="117" spans="1:19" x14ac:dyDescent="0.35">
      <c r="A117">
        <v>2017</v>
      </c>
      <c r="B117">
        <v>21</v>
      </c>
      <c r="C117">
        <v>21</v>
      </c>
      <c r="D117" t="s">
        <v>42</v>
      </c>
      <c r="E117" t="s">
        <v>43</v>
      </c>
      <c r="F117" t="s">
        <v>298</v>
      </c>
      <c r="G117">
        <v>1</v>
      </c>
      <c r="H117" t="s">
        <v>140</v>
      </c>
      <c r="I117" t="s">
        <v>120</v>
      </c>
      <c r="J117" t="s">
        <v>603</v>
      </c>
      <c r="K117" t="s">
        <v>172</v>
      </c>
      <c r="L117" t="s">
        <v>16</v>
      </c>
      <c r="M117" t="s">
        <v>17</v>
      </c>
      <c r="O117">
        <v>2</v>
      </c>
      <c r="P117" t="s">
        <v>18</v>
      </c>
      <c r="Q117">
        <f>ABS(Table1[[#This Row],[Rate]]-Table1[[#This Row],[AI RATE]])</f>
        <v>1</v>
      </c>
      <c r="R117">
        <f>IF(Table1[[#This Row],[NEW RATING2]]&gt;0, Table1[[#This Row],[NEW RATING2]],Table1[[#This Row],[Rate]])</f>
        <v>1</v>
      </c>
      <c r="S117">
        <f>IF(Table1[[#This Row],[Rate]] =Table1[[#This Row],[AI RATE]],1, 0)</f>
        <v>0</v>
      </c>
    </row>
    <row r="118" spans="1:19" x14ac:dyDescent="0.35">
      <c r="A118">
        <v>2017</v>
      </c>
      <c r="B118">
        <v>22</v>
      </c>
      <c r="C118">
        <v>22</v>
      </c>
      <c r="D118" t="s">
        <v>19</v>
      </c>
      <c r="E118" t="s">
        <v>20</v>
      </c>
      <c r="F118" t="s">
        <v>299</v>
      </c>
      <c r="G118">
        <v>2</v>
      </c>
      <c r="H118" t="s">
        <v>123</v>
      </c>
      <c r="I118" t="s">
        <v>137</v>
      </c>
      <c r="J118" t="s">
        <v>603</v>
      </c>
      <c r="K118" t="s">
        <v>172</v>
      </c>
      <c r="L118" t="s">
        <v>16</v>
      </c>
      <c r="M118" t="s">
        <v>17</v>
      </c>
      <c r="O118">
        <v>1</v>
      </c>
      <c r="P118" t="s">
        <v>18</v>
      </c>
      <c r="Q118">
        <f>ABS(Table1[[#This Row],[Rate]]-Table1[[#This Row],[AI RATE]])</f>
        <v>1</v>
      </c>
      <c r="R118">
        <f>IF(Table1[[#This Row],[NEW RATING2]]&gt;0, Table1[[#This Row],[NEW RATING2]],Table1[[#This Row],[Rate]])</f>
        <v>2</v>
      </c>
      <c r="S118">
        <f>IF(Table1[[#This Row],[Rate]] =Table1[[#This Row],[AI RATE]],1, 0)</f>
        <v>0</v>
      </c>
    </row>
    <row r="119" spans="1:19" x14ac:dyDescent="0.35">
      <c r="A119">
        <v>2017</v>
      </c>
      <c r="B119">
        <v>23</v>
      </c>
      <c r="C119">
        <v>23</v>
      </c>
      <c r="D119" t="s">
        <v>115</v>
      </c>
      <c r="E119" t="s">
        <v>116</v>
      </c>
      <c r="F119" t="s">
        <v>300</v>
      </c>
      <c r="G119">
        <v>3</v>
      </c>
      <c r="H119" t="s">
        <v>92</v>
      </c>
      <c r="I119" t="s">
        <v>83</v>
      </c>
      <c r="J119" t="s">
        <v>603</v>
      </c>
      <c r="K119" t="s">
        <v>172</v>
      </c>
      <c r="L119" t="s">
        <v>16</v>
      </c>
      <c r="M119" t="s">
        <v>17</v>
      </c>
      <c r="O119">
        <v>3</v>
      </c>
      <c r="P119" t="s">
        <v>18</v>
      </c>
      <c r="Q119">
        <f>ABS(Table1[[#This Row],[Rate]]-Table1[[#This Row],[AI RATE]])</f>
        <v>0</v>
      </c>
      <c r="R119">
        <f>IF(Table1[[#This Row],[NEW RATING2]]&gt;0, Table1[[#This Row],[NEW RATING2]],Table1[[#This Row],[Rate]])</f>
        <v>3</v>
      </c>
      <c r="S119">
        <f>IF(Table1[[#This Row],[Rate]] =Table1[[#This Row],[AI RATE]],1, 0)</f>
        <v>1</v>
      </c>
    </row>
    <row r="120" spans="1:19" x14ac:dyDescent="0.35">
      <c r="A120">
        <v>2017</v>
      </c>
      <c r="B120">
        <v>24</v>
      </c>
      <c r="C120">
        <v>24</v>
      </c>
      <c r="D120" t="s">
        <v>76</v>
      </c>
      <c r="E120" t="s">
        <v>77</v>
      </c>
      <c r="F120" t="s">
        <v>301</v>
      </c>
      <c r="G120">
        <v>1</v>
      </c>
      <c r="H120" t="s">
        <v>124</v>
      </c>
      <c r="I120" t="s">
        <v>101</v>
      </c>
      <c r="J120" t="s">
        <v>151</v>
      </c>
      <c r="K120" t="s">
        <v>152</v>
      </c>
      <c r="L120" t="s">
        <v>153</v>
      </c>
      <c r="M120" t="s">
        <v>154</v>
      </c>
      <c r="N120" t="s">
        <v>278</v>
      </c>
      <c r="O120">
        <v>2</v>
      </c>
      <c r="P120" t="s">
        <v>18</v>
      </c>
      <c r="Q120">
        <f>ABS(Table1[[#This Row],[Rate]]-Table1[[#This Row],[AI RATE]])</f>
        <v>1</v>
      </c>
      <c r="R120">
        <f>IF(Table1[[#This Row],[NEW RATING2]]&gt;0, Table1[[#This Row],[NEW RATING2]],Table1[[#This Row],[Rate]])</f>
        <v>1</v>
      </c>
      <c r="S120">
        <f>IF(Table1[[#This Row],[Rate]] =Table1[[#This Row],[AI RATE]],1, 0)</f>
        <v>0</v>
      </c>
    </row>
    <row r="121" spans="1:19" x14ac:dyDescent="0.35">
      <c r="A121">
        <v>2017</v>
      </c>
      <c r="B121">
        <v>25</v>
      </c>
      <c r="C121">
        <v>25</v>
      </c>
      <c r="D121" t="s">
        <v>23</v>
      </c>
      <c r="E121" t="s">
        <v>24</v>
      </c>
      <c r="F121" t="s">
        <v>302</v>
      </c>
      <c r="G121">
        <v>4</v>
      </c>
      <c r="H121" t="s">
        <v>130</v>
      </c>
      <c r="I121" t="s">
        <v>26</v>
      </c>
      <c r="J121" t="s">
        <v>603</v>
      </c>
      <c r="K121" t="s">
        <v>172</v>
      </c>
      <c r="L121" t="s">
        <v>16</v>
      </c>
      <c r="M121" t="s">
        <v>17</v>
      </c>
      <c r="O121">
        <v>3</v>
      </c>
      <c r="P121" t="s">
        <v>18</v>
      </c>
      <c r="Q121">
        <f>ABS(Table1[[#This Row],[Rate]]-Table1[[#This Row],[AI RATE]])</f>
        <v>1</v>
      </c>
      <c r="R121">
        <f>IF(Table1[[#This Row],[NEW RATING2]]&gt;0, Table1[[#This Row],[NEW RATING2]],Table1[[#This Row],[Rate]])</f>
        <v>4</v>
      </c>
      <c r="S121">
        <f>IF(Table1[[#This Row],[Rate]] =Table1[[#This Row],[AI RATE]],1, 0)</f>
        <v>0</v>
      </c>
    </row>
    <row r="122" spans="1:19" x14ac:dyDescent="0.35">
      <c r="A122">
        <v>2017</v>
      </c>
      <c r="B122">
        <v>26</v>
      </c>
      <c r="C122">
        <v>26</v>
      </c>
      <c r="D122" t="s">
        <v>84</v>
      </c>
      <c r="E122" t="s">
        <v>85</v>
      </c>
      <c r="F122" t="s">
        <v>303</v>
      </c>
      <c r="G122">
        <v>3</v>
      </c>
      <c r="H122" t="s">
        <v>48</v>
      </c>
      <c r="I122" t="s">
        <v>113</v>
      </c>
      <c r="J122" t="s">
        <v>151</v>
      </c>
      <c r="K122" t="s">
        <v>152</v>
      </c>
      <c r="L122" t="s">
        <v>153</v>
      </c>
      <c r="M122" t="s">
        <v>154</v>
      </c>
      <c r="N122" t="s">
        <v>278</v>
      </c>
      <c r="O122">
        <v>2</v>
      </c>
      <c r="P122" t="s">
        <v>18</v>
      </c>
      <c r="Q122">
        <f>ABS(Table1[[#This Row],[Rate]]-Table1[[#This Row],[AI RATE]])</f>
        <v>1</v>
      </c>
      <c r="R122">
        <f>IF(Table1[[#This Row],[NEW RATING2]]&gt;0, Table1[[#This Row],[NEW RATING2]],Table1[[#This Row],[Rate]])</f>
        <v>3</v>
      </c>
      <c r="S122">
        <f>IF(Table1[[#This Row],[Rate]] =Table1[[#This Row],[AI RATE]],1, 0)</f>
        <v>0</v>
      </c>
    </row>
    <row r="123" spans="1:19" x14ac:dyDescent="0.35">
      <c r="A123">
        <v>2017</v>
      </c>
      <c r="B123">
        <v>27</v>
      </c>
      <c r="C123">
        <v>27</v>
      </c>
      <c r="D123" t="s">
        <v>102</v>
      </c>
      <c r="E123" t="s">
        <v>103</v>
      </c>
      <c r="F123" t="s">
        <v>304</v>
      </c>
      <c r="G123">
        <v>5</v>
      </c>
      <c r="H123" t="s">
        <v>124</v>
      </c>
      <c r="I123" t="s">
        <v>70</v>
      </c>
      <c r="J123" t="s">
        <v>151</v>
      </c>
      <c r="K123" t="s">
        <v>152</v>
      </c>
      <c r="L123" t="s">
        <v>153</v>
      </c>
      <c r="M123" t="s">
        <v>154</v>
      </c>
      <c r="N123" t="s">
        <v>278</v>
      </c>
      <c r="O123">
        <v>5</v>
      </c>
      <c r="P123" t="s">
        <v>18</v>
      </c>
      <c r="Q123">
        <f>ABS(Table1[[#This Row],[Rate]]-Table1[[#This Row],[AI RATE]])</f>
        <v>0</v>
      </c>
      <c r="R123">
        <f>IF(Table1[[#This Row],[NEW RATING2]]&gt;0, Table1[[#This Row],[NEW RATING2]],Table1[[#This Row],[Rate]])</f>
        <v>5</v>
      </c>
      <c r="S123">
        <f>IF(Table1[[#This Row],[Rate]] =Table1[[#This Row],[AI RATE]],1, 0)</f>
        <v>1</v>
      </c>
    </row>
    <row r="124" spans="1:19" x14ac:dyDescent="0.35">
      <c r="A124">
        <v>2017</v>
      </c>
      <c r="B124">
        <v>28</v>
      </c>
      <c r="C124">
        <v>28</v>
      </c>
      <c r="D124" t="s">
        <v>46</v>
      </c>
      <c r="E124" t="s">
        <v>47</v>
      </c>
      <c r="F124" t="s">
        <v>305</v>
      </c>
      <c r="G124">
        <v>1</v>
      </c>
      <c r="H124" t="s">
        <v>48</v>
      </c>
      <c r="I124" t="s">
        <v>26</v>
      </c>
      <c r="J124" t="s">
        <v>603</v>
      </c>
      <c r="K124" t="s">
        <v>172</v>
      </c>
      <c r="L124" t="s">
        <v>16</v>
      </c>
      <c r="M124" t="s">
        <v>17</v>
      </c>
      <c r="O124">
        <v>1</v>
      </c>
      <c r="P124" t="s">
        <v>18</v>
      </c>
      <c r="Q124">
        <f>ABS(Table1[[#This Row],[Rate]]-Table1[[#This Row],[AI RATE]])</f>
        <v>0</v>
      </c>
      <c r="R124">
        <f>IF(Table1[[#This Row],[NEW RATING2]]&gt;0, Table1[[#This Row],[NEW RATING2]],Table1[[#This Row],[Rate]])</f>
        <v>1</v>
      </c>
      <c r="S124">
        <f>IF(Table1[[#This Row],[Rate]] =Table1[[#This Row],[AI RATE]],1, 0)</f>
        <v>1</v>
      </c>
    </row>
    <row r="125" spans="1:19" x14ac:dyDescent="0.35">
      <c r="A125">
        <v>2017</v>
      </c>
      <c r="B125">
        <v>29</v>
      </c>
      <c r="C125">
        <v>29</v>
      </c>
      <c r="D125" t="s">
        <v>23</v>
      </c>
      <c r="E125" t="s">
        <v>24</v>
      </c>
      <c r="F125" t="s">
        <v>306</v>
      </c>
      <c r="G125">
        <v>4</v>
      </c>
      <c r="H125" t="s">
        <v>92</v>
      </c>
      <c r="I125" t="s">
        <v>114</v>
      </c>
      <c r="J125" t="s">
        <v>603</v>
      </c>
      <c r="K125" t="s">
        <v>172</v>
      </c>
      <c r="L125" t="s">
        <v>16</v>
      </c>
      <c r="M125" t="s">
        <v>17</v>
      </c>
      <c r="O125">
        <v>3</v>
      </c>
      <c r="P125" t="s">
        <v>18</v>
      </c>
      <c r="Q125">
        <f>ABS(Table1[[#This Row],[Rate]]-Table1[[#This Row],[AI RATE]])</f>
        <v>1</v>
      </c>
      <c r="R125">
        <f>IF(Table1[[#This Row],[NEW RATING2]]&gt;0, Table1[[#This Row],[NEW RATING2]],Table1[[#This Row],[Rate]])</f>
        <v>4</v>
      </c>
      <c r="S125">
        <f>IF(Table1[[#This Row],[Rate]] =Table1[[#This Row],[AI RATE]],1, 0)</f>
        <v>0</v>
      </c>
    </row>
    <row r="126" spans="1:19" x14ac:dyDescent="0.35">
      <c r="A126">
        <v>2017</v>
      </c>
      <c r="B126">
        <v>30</v>
      </c>
      <c r="C126">
        <v>30</v>
      </c>
      <c r="D126" t="s">
        <v>90</v>
      </c>
      <c r="E126" t="s">
        <v>91</v>
      </c>
      <c r="F126" t="s">
        <v>307</v>
      </c>
      <c r="G126">
        <v>5</v>
      </c>
      <c r="H126" t="s">
        <v>123</v>
      </c>
      <c r="I126" t="s">
        <v>67</v>
      </c>
      <c r="J126" t="s">
        <v>603</v>
      </c>
      <c r="K126" t="s">
        <v>172</v>
      </c>
      <c r="L126" t="s">
        <v>16</v>
      </c>
      <c r="M126" t="s">
        <v>17</v>
      </c>
      <c r="O126">
        <v>5</v>
      </c>
      <c r="P126" t="s">
        <v>18</v>
      </c>
      <c r="Q126">
        <f>ABS(Table1[[#This Row],[Rate]]-Table1[[#This Row],[AI RATE]])</f>
        <v>0</v>
      </c>
      <c r="R126">
        <f>IF(Table1[[#This Row],[NEW RATING2]]&gt;0, Table1[[#This Row],[NEW RATING2]],Table1[[#This Row],[Rate]])</f>
        <v>5</v>
      </c>
      <c r="S126">
        <f>IF(Table1[[#This Row],[Rate]] =Table1[[#This Row],[AI RATE]],1, 0)</f>
        <v>1</v>
      </c>
    </row>
    <row r="127" spans="1:19" x14ac:dyDescent="0.35">
      <c r="A127">
        <v>2017</v>
      </c>
      <c r="B127">
        <v>31</v>
      </c>
      <c r="C127">
        <v>31</v>
      </c>
      <c r="D127" t="s">
        <v>12</v>
      </c>
      <c r="E127" t="s">
        <v>13</v>
      </c>
      <c r="F127" t="s">
        <v>308</v>
      </c>
      <c r="G127">
        <v>1</v>
      </c>
      <c r="H127" t="s">
        <v>140</v>
      </c>
      <c r="I127" t="s">
        <v>133</v>
      </c>
      <c r="J127" t="s">
        <v>603</v>
      </c>
      <c r="K127" t="s">
        <v>172</v>
      </c>
      <c r="L127" t="s">
        <v>16</v>
      </c>
      <c r="M127" t="s">
        <v>17</v>
      </c>
      <c r="O127">
        <v>1</v>
      </c>
      <c r="P127" t="s">
        <v>18</v>
      </c>
      <c r="Q127">
        <f>ABS(Table1[[#This Row],[Rate]]-Table1[[#This Row],[AI RATE]])</f>
        <v>0</v>
      </c>
      <c r="R127">
        <f>IF(Table1[[#This Row],[NEW RATING2]]&gt;0, Table1[[#This Row],[NEW RATING2]],Table1[[#This Row],[Rate]])</f>
        <v>1</v>
      </c>
      <c r="S127">
        <f>IF(Table1[[#This Row],[Rate]] =Table1[[#This Row],[AI RATE]],1, 0)</f>
        <v>1</v>
      </c>
    </row>
    <row r="128" spans="1:19" x14ac:dyDescent="0.35">
      <c r="A128">
        <v>2017</v>
      </c>
      <c r="B128">
        <v>32</v>
      </c>
      <c r="C128">
        <v>32</v>
      </c>
      <c r="D128" t="s">
        <v>53</v>
      </c>
      <c r="E128" t="s">
        <v>54</v>
      </c>
      <c r="F128" t="s">
        <v>309</v>
      </c>
      <c r="G128">
        <v>5</v>
      </c>
      <c r="H128" t="s">
        <v>55</v>
      </c>
      <c r="I128" t="s">
        <v>67</v>
      </c>
      <c r="J128" t="s">
        <v>151</v>
      </c>
      <c r="K128" t="s">
        <v>152</v>
      </c>
      <c r="L128" t="s">
        <v>153</v>
      </c>
      <c r="M128" t="s">
        <v>154</v>
      </c>
      <c r="N128" t="s">
        <v>278</v>
      </c>
      <c r="O128">
        <v>4</v>
      </c>
      <c r="P128" t="s">
        <v>18</v>
      </c>
      <c r="Q128">
        <f>ABS(Table1[[#This Row],[Rate]]-Table1[[#This Row],[AI RATE]])</f>
        <v>1</v>
      </c>
      <c r="R128">
        <f>IF(Table1[[#This Row],[NEW RATING2]]&gt;0, Table1[[#This Row],[NEW RATING2]],Table1[[#This Row],[Rate]])</f>
        <v>5</v>
      </c>
      <c r="S128">
        <f>IF(Table1[[#This Row],[Rate]] =Table1[[#This Row],[AI RATE]],1, 0)</f>
        <v>0</v>
      </c>
    </row>
    <row r="129" spans="1:20" x14ac:dyDescent="0.35">
      <c r="A129">
        <v>2018</v>
      </c>
      <c r="B129">
        <v>1</v>
      </c>
      <c r="C129">
        <v>1</v>
      </c>
      <c r="D129" t="s">
        <v>23</v>
      </c>
      <c r="E129" t="s">
        <v>24</v>
      </c>
      <c r="F129" t="s">
        <v>310</v>
      </c>
      <c r="G129">
        <v>4</v>
      </c>
      <c r="H129" t="s">
        <v>14</v>
      </c>
      <c r="I129" t="s">
        <v>56</v>
      </c>
      <c r="J129" t="s">
        <v>603</v>
      </c>
      <c r="K129" t="s">
        <v>311</v>
      </c>
      <c r="L129" t="s">
        <v>199</v>
      </c>
      <c r="M129" t="s">
        <v>154</v>
      </c>
      <c r="N129" t="s">
        <v>312</v>
      </c>
      <c r="O129">
        <v>3</v>
      </c>
      <c r="P129" t="s">
        <v>18</v>
      </c>
      <c r="Q129">
        <f>ABS(Table1[[#This Row],[Rate]]-Table1[[#This Row],[AI RATE]])</f>
        <v>1</v>
      </c>
      <c r="R129">
        <f>IF(Table1[[#This Row],[NEW RATING2]]&gt;0, Table1[[#This Row],[NEW RATING2]],Table1[[#This Row],[Rate]])</f>
        <v>4</v>
      </c>
      <c r="S129">
        <f>IF(Table1[[#This Row],[Rate]] =Table1[[#This Row],[AI RATE]],1, 0)</f>
        <v>0</v>
      </c>
    </row>
    <row r="130" spans="1:20" x14ac:dyDescent="0.35">
      <c r="A130">
        <v>2018</v>
      </c>
      <c r="B130">
        <v>2</v>
      </c>
      <c r="C130">
        <v>2</v>
      </c>
      <c r="D130" t="s">
        <v>115</v>
      </c>
      <c r="E130" t="s">
        <v>116</v>
      </c>
      <c r="F130" t="s">
        <v>313</v>
      </c>
      <c r="G130">
        <v>5</v>
      </c>
      <c r="H130" t="s">
        <v>21</v>
      </c>
      <c r="I130" t="s">
        <v>110</v>
      </c>
      <c r="J130" t="s">
        <v>151</v>
      </c>
      <c r="K130" t="s">
        <v>152</v>
      </c>
      <c r="L130" t="s">
        <v>153</v>
      </c>
      <c r="M130" t="s">
        <v>154</v>
      </c>
      <c r="N130" t="s">
        <v>314</v>
      </c>
      <c r="O130">
        <v>4</v>
      </c>
      <c r="P130" t="s">
        <v>18</v>
      </c>
      <c r="Q130">
        <f>ABS(Table1[[#This Row],[Rate]]-Table1[[#This Row],[AI RATE]])</f>
        <v>1</v>
      </c>
      <c r="R130">
        <f>IF(Table1[[#This Row],[NEW RATING2]]&gt;0, Table1[[#This Row],[NEW RATING2]],Table1[[#This Row],[Rate]])</f>
        <v>5</v>
      </c>
      <c r="S130">
        <f>IF(Table1[[#This Row],[Rate]] =Table1[[#This Row],[AI RATE]],1, 0)</f>
        <v>0</v>
      </c>
    </row>
    <row r="131" spans="1:20" x14ac:dyDescent="0.35">
      <c r="A131">
        <v>2018</v>
      </c>
      <c r="B131">
        <v>3</v>
      </c>
      <c r="C131">
        <v>3</v>
      </c>
      <c r="D131" t="s">
        <v>99</v>
      </c>
      <c r="E131" t="s">
        <v>100</v>
      </c>
      <c r="F131" t="s">
        <v>315</v>
      </c>
      <c r="G131">
        <v>4</v>
      </c>
      <c r="H131" t="s">
        <v>14</v>
      </c>
      <c r="I131" t="s">
        <v>45</v>
      </c>
      <c r="J131" t="s">
        <v>151</v>
      </c>
      <c r="K131" t="s">
        <v>152</v>
      </c>
      <c r="L131" t="s">
        <v>153</v>
      </c>
      <c r="M131" t="s">
        <v>154</v>
      </c>
      <c r="N131" t="s">
        <v>314</v>
      </c>
      <c r="O131">
        <v>2</v>
      </c>
      <c r="P131" t="s">
        <v>18</v>
      </c>
      <c r="Q131">
        <f>ABS(Table1[[#This Row],[Rate]]-Table1[[#This Row],[AI RATE]])</f>
        <v>2</v>
      </c>
      <c r="R131">
        <f>IF(Table1[[#This Row],[NEW RATING2]]&gt;0, Table1[[#This Row],[NEW RATING2]],Table1[[#This Row],[Rate]])</f>
        <v>4</v>
      </c>
      <c r="S131">
        <f>IF(Table1[[#This Row],[Rate]] =Table1[[#This Row],[AI RATE]],1, 0)</f>
        <v>0</v>
      </c>
      <c r="T131">
        <v>4</v>
      </c>
    </row>
    <row r="132" spans="1:20" x14ac:dyDescent="0.35">
      <c r="A132">
        <v>2018</v>
      </c>
      <c r="B132">
        <v>4</v>
      </c>
      <c r="C132">
        <v>4</v>
      </c>
      <c r="D132" t="s">
        <v>23</v>
      </c>
      <c r="E132" t="s">
        <v>24</v>
      </c>
      <c r="F132" t="s">
        <v>316</v>
      </c>
      <c r="G132">
        <v>5</v>
      </c>
      <c r="H132" t="s">
        <v>124</v>
      </c>
      <c r="I132" t="s">
        <v>101</v>
      </c>
      <c r="J132" t="s">
        <v>151</v>
      </c>
      <c r="K132" t="s">
        <v>152</v>
      </c>
      <c r="L132" t="s">
        <v>153</v>
      </c>
      <c r="M132" t="s">
        <v>154</v>
      </c>
      <c r="N132" t="s">
        <v>314</v>
      </c>
      <c r="O132">
        <v>4</v>
      </c>
      <c r="P132" t="s">
        <v>18</v>
      </c>
      <c r="Q132">
        <f>ABS(Table1[[#This Row],[Rate]]-Table1[[#This Row],[AI RATE]])</f>
        <v>1</v>
      </c>
      <c r="R132">
        <f>IF(Table1[[#This Row],[NEW RATING2]]&gt;0, Table1[[#This Row],[NEW RATING2]],Table1[[#This Row],[Rate]])</f>
        <v>5</v>
      </c>
      <c r="S132">
        <f>IF(Table1[[#This Row],[Rate]] =Table1[[#This Row],[AI RATE]],1, 0)</f>
        <v>0</v>
      </c>
    </row>
    <row r="133" spans="1:20" x14ac:dyDescent="0.35">
      <c r="A133">
        <v>2018</v>
      </c>
      <c r="B133">
        <v>5</v>
      </c>
      <c r="C133">
        <v>5</v>
      </c>
      <c r="D133" t="s">
        <v>104</v>
      </c>
      <c r="E133" t="s">
        <v>105</v>
      </c>
      <c r="F133" t="s">
        <v>317</v>
      </c>
      <c r="G133">
        <v>4</v>
      </c>
      <c r="H133" t="s">
        <v>48</v>
      </c>
      <c r="I133" t="s">
        <v>98</v>
      </c>
      <c r="J133" t="s">
        <v>151</v>
      </c>
      <c r="K133" t="s">
        <v>152</v>
      </c>
      <c r="L133" t="s">
        <v>153</v>
      </c>
      <c r="M133" t="s">
        <v>154</v>
      </c>
      <c r="N133" t="s">
        <v>314</v>
      </c>
      <c r="O133">
        <v>4</v>
      </c>
      <c r="P133" t="s">
        <v>18</v>
      </c>
      <c r="Q133">
        <f>ABS(Table1[[#This Row],[Rate]]-Table1[[#This Row],[AI RATE]])</f>
        <v>0</v>
      </c>
      <c r="R133">
        <f>IF(Table1[[#This Row],[NEW RATING2]]&gt;0, Table1[[#This Row],[NEW RATING2]],Table1[[#This Row],[Rate]])</f>
        <v>4</v>
      </c>
      <c r="S133">
        <f>IF(Table1[[#This Row],[Rate]] =Table1[[#This Row],[AI RATE]],1, 0)</f>
        <v>1</v>
      </c>
    </row>
    <row r="134" spans="1:20" x14ac:dyDescent="0.35">
      <c r="A134">
        <v>2018</v>
      </c>
      <c r="B134">
        <v>6</v>
      </c>
      <c r="C134">
        <v>6</v>
      </c>
      <c r="D134" t="s">
        <v>88</v>
      </c>
      <c r="E134" t="s">
        <v>89</v>
      </c>
      <c r="F134" t="s">
        <v>318</v>
      </c>
      <c r="G134">
        <v>5</v>
      </c>
      <c r="H134" t="s">
        <v>97</v>
      </c>
      <c r="I134" t="s">
        <v>121</v>
      </c>
      <c r="J134" t="s">
        <v>603</v>
      </c>
      <c r="K134" t="s">
        <v>172</v>
      </c>
      <c r="L134" t="s">
        <v>16</v>
      </c>
      <c r="M134" t="s">
        <v>17</v>
      </c>
      <c r="O134">
        <v>5</v>
      </c>
      <c r="P134" t="s">
        <v>18</v>
      </c>
      <c r="Q134">
        <f>ABS(Table1[[#This Row],[Rate]]-Table1[[#This Row],[AI RATE]])</f>
        <v>0</v>
      </c>
      <c r="R134">
        <f>IF(Table1[[#This Row],[NEW RATING2]]&gt;0, Table1[[#This Row],[NEW RATING2]],Table1[[#This Row],[Rate]])</f>
        <v>5</v>
      </c>
      <c r="S134">
        <f>IF(Table1[[#This Row],[Rate]] =Table1[[#This Row],[AI RATE]],1, 0)</f>
        <v>1</v>
      </c>
    </row>
    <row r="135" spans="1:20" x14ac:dyDescent="0.35">
      <c r="A135">
        <v>2018</v>
      </c>
      <c r="B135">
        <v>7</v>
      </c>
      <c r="C135">
        <v>7</v>
      </c>
      <c r="D135" t="s">
        <v>102</v>
      </c>
      <c r="E135" t="s">
        <v>103</v>
      </c>
      <c r="F135" t="s">
        <v>319</v>
      </c>
      <c r="G135">
        <v>5</v>
      </c>
      <c r="H135" t="s">
        <v>14</v>
      </c>
      <c r="I135" t="s">
        <v>320</v>
      </c>
      <c r="J135" t="s">
        <v>151</v>
      </c>
      <c r="K135" t="s">
        <v>152</v>
      </c>
      <c r="L135" t="s">
        <v>153</v>
      </c>
      <c r="M135" t="s">
        <v>154</v>
      </c>
      <c r="N135" t="s">
        <v>314</v>
      </c>
      <c r="O135">
        <v>5</v>
      </c>
      <c r="P135" t="s">
        <v>18</v>
      </c>
      <c r="Q135">
        <f>ABS(Table1[[#This Row],[Rate]]-Table1[[#This Row],[AI RATE]])</f>
        <v>0</v>
      </c>
      <c r="R135">
        <f>IF(Table1[[#This Row],[NEW RATING2]]&gt;0, Table1[[#This Row],[NEW RATING2]],Table1[[#This Row],[Rate]])</f>
        <v>5</v>
      </c>
      <c r="S135">
        <f>IF(Table1[[#This Row],[Rate]] =Table1[[#This Row],[AI RATE]],1, 0)</f>
        <v>1</v>
      </c>
    </row>
    <row r="136" spans="1:20" x14ac:dyDescent="0.35">
      <c r="A136">
        <v>2018</v>
      </c>
      <c r="B136">
        <v>8</v>
      </c>
      <c r="C136">
        <v>8</v>
      </c>
      <c r="D136" t="s">
        <v>27</v>
      </c>
      <c r="E136" t="s">
        <v>28</v>
      </c>
      <c r="F136" t="s">
        <v>321</v>
      </c>
      <c r="G136">
        <v>5</v>
      </c>
      <c r="H136" t="s">
        <v>123</v>
      </c>
      <c r="I136" t="s">
        <v>59</v>
      </c>
      <c r="J136" t="s">
        <v>151</v>
      </c>
      <c r="K136" t="s">
        <v>152</v>
      </c>
      <c r="L136" t="s">
        <v>153</v>
      </c>
      <c r="M136" t="s">
        <v>154</v>
      </c>
      <c r="N136" t="s">
        <v>314</v>
      </c>
      <c r="O136">
        <v>5</v>
      </c>
      <c r="P136" t="s">
        <v>18</v>
      </c>
      <c r="Q136">
        <f>ABS(Table1[[#This Row],[Rate]]-Table1[[#This Row],[AI RATE]])</f>
        <v>0</v>
      </c>
      <c r="R136">
        <f>IF(Table1[[#This Row],[NEW RATING2]]&gt;0, Table1[[#This Row],[NEW RATING2]],Table1[[#This Row],[Rate]])</f>
        <v>5</v>
      </c>
      <c r="S136">
        <f>IF(Table1[[#This Row],[Rate]] =Table1[[#This Row],[AI RATE]],1, 0)</f>
        <v>1</v>
      </c>
    </row>
    <row r="137" spans="1:20" x14ac:dyDescent="0.35">
      <c r="A137">
        <v>2018</v>
      </c>
      <c r="B137">
        <v>9</v>
      </c>
      <c r="C137">
        <v>9</v>
      </c>
      <c r="D137" t="s">
        <v>12</v>
      </c>
      <c r="E137" t="s">
        <v>13</v>
      </c>
      <c r="F137" t="s">
        <v>322</v>
      </c>
      <c r="G137">
        <v>4</v>
      </c>
      <c r="H137" t="s">
        <v>55</v>
      </c>
      <c r="I137" t="s">
        <v>121</v>
      </c>
      <c r="J137" t="s">
        <v>603</v>
      </c>
      <c r="K137" t="s">
        <v>172</v>
      </c>
      <c r="L137" t="s">
        <v>16</v>
      </c>
      <c r="M137" t="s">
        <v>17</v>
      </c>
      <c r="O137">
        <v>3</v>
      </c>
      <c r="P137" t="s">
        <v>18</v>
      </c>
      <c r="Q137">
        <f>ABS(Table1[[#This Row],[Rate]]-Table1[[#This Row],[AI RATE]])</f>
        <v>1</v>
      </c>
      <c r="R137">
        <f>IF(Table1[[#This Row],[NEW RATING2]]&gt;0, Table1[[#This Row],[NEW RATING2]],Table1[[#This Row],[Rate]])</f>
        <v>4</v>
      </c>
      <c r="S137">
        <f>IF(Table1[[#This Row],[Rate]] =Table1[[#This Row],[AI RATE]],1, 0)</f>
        <v>0</v>
      </c>
    </row>
    <row r="138" spans="1:20" x14ac:dyDescent="0.35">
      <c r="A138">
        <v>2018</v>
      </c>
      <c r="B138">
        <v>10</v>
      </c>
      <c r="C138">
        <v>10</v>
      </c>
      <c r="D138" t="s">
        <v>38</v>
      </c>
      <c r="E138" t="s">
        <v>39</v>
      </c>
      <c r="F138" t="s">
        <v>323</v>
      </c>
      <c r="G138">
        <v>1</v>
      </c>
      <c r="H138" t="s">
        <v>14</v>
      </c>
      <c r="I138" t="s">
        <v>113</v>
      </c>
      <c r="J138" t="s">
        <v>151</v>
      </c>
      <c r="K138" t="s">
        <v>152</v>
      </c>
      <c r="L138" t="s">
        <v>153</v>
      </c>
      <c r="M138" t="s">
        <v>154</v>
      </c>
      <c r="N138" t="s">
        <v>314</v>
      </c>
      <c r="O138">
        <v>1</v>
      </c>
      <c r="P138" t="s">
        <v>18</v>
      </c>
      <c r="Q138">
        <f>ABS(Table1[[#This Row],[Rate]]-Table1[[#This Row],[AI RATE]])</f>
        <v>0</v>
      </c>
      <c r="R138">
        <f>IF(Table1[[#This Row],[NEW RATING2]]&gt;0, Table1[[#This Row],[NEW RATING2]],Table1[[#This Row],[Rate]])</f>
        <v>1</v>
      </c>
      <c r="S138">
        <f>IF(Table1[[#This Row],[Rate]] =Table1[[#This Row],[AI RATE]],1, 0)</f>
        <v>1</v>
      </c>
    </row>
    <row r="139" spans="1:20" x14ac:dyDescent="0.35">
      <c r="A139">
        <v>2018</v>
      </c>
      <c r="B139">
        <v>11</v>
      </c>
      <c r="C139">
        <v>11</v>
      </c>
      <c r="D139" t="s">
        <v>19</v>
      </c>
      <c r="E139" t="s">
        <v>20</v>
      </c>
      <c r="F139" t="s">
        <v>324</v>
      </c>
      <c r="G139">
        <v>4</v>
      </c>
      <c r="H139" t="s">
        <v>130</v>
      </c>
      <c r="I139" t="s">
        <v>133</v>
      </c>
      <c r="J139" t="s">
        <v>151</v>
      </c>
      <c r="K139" t="s">
        <v>152</v>
      </c>
      <c r="L139" t="s">
        <v>153</v>
      </c>
      <c r="M139" t="s">
        <v>154</v>
      </c>
      <c r="N139" t="s">
        <v>314</v>
      </c>
      <c r="O139">
        <v>5</v>
      </c>
      <c r="P139" t="s">
        <v>18</v>
      </c>
      <c r="Q139">
        <f>ABS(Table1[[#This Row],[Rate]]-Table1[[#This Row],[AI RATE]])</f>
        <v>1</v>
      </c>
      <c r="R139">
        <f>IF(Table1[[#This Row],[NEW RATING2]]&gt;0, Table1[[#This Row],[NEW RATING2]],Table1[[#This Row],[Rate]])</f>
        <v>4</v>
      </c>
      <c r="S139">
        <f>IF(Table1[[#This Row],[Rate]] =Table1[[#This Row],[AI RATE]],1, 0)</f>
        <v>0</v>
      </c>
    </row>
    <row r="140" spans="1:20" x14ac:dyDescent="0.35">
      <c r="A140">
        <v>2018</v>
      </c>
      <c r="B140">
        <v>12</v>
      </c>
      <c r="C140">
        <v>12</v>
      </c>
      <c r="D140" t="s">
        <v>30</v>
      </c>
      <c r="E140" t="s">
        <v>31</v>
      </c>
      <c r="F140" t="s">
        <v>325</v>
      </c>
      <c r="G140">
        <v>5</v>
      </c>
      <c r="H140" t="s">
        <v>86</v>
      </c>
      <c r="I140" t="s">
        <v>143</v>
      </c>
      <c r="J140" t="s">
        <v>151</v>
      </c>
      <c r="K140" t="s">
        <v>152</v>
      </c>
      <c r="L140" t="s">
        <v>153</v>
      </c>
      <c r="M140" t="s">
        <v>154</v>
      </c>
      <c r="N140" t="s">
        <v>314</v>
      </c>
      <c r="O140">
        <v>4</v>
      </c>
      <c r="P140" t="s">
        <v>18</v>
      </c>
      <c r="Q140">
        <f>ABS(Table1[[#This Row],[Rate]]-Table1[[#This Row],[AI RATE]])</f>
        <v>1</v>
      </c>
      <c r="R140">
        <f>IF(Table1[[#This Row],[NEW RATING2]]&gt;0, Table1[[#This Row],[NEW RATING2]],Table1[[#This Row],[Rate]])</f>
        <v>5</v>
      </c>
      <c r="S140">
        <f>IF(Table1[[#This Row],[Rate]] =Table1[[#This Row],[AI RATE]],1, 0)</f>
        <v>0</v>
      </c>
    </row>
    <row r="141" spans="1:20" x14ac:dyDescent="0.35">
      <c r="A141">
        <v>2018</v>
      </c>
      <c r="B141">
        <v>13</v>
      </c>
      <c r="C141">
        <v>13</v>
      </c>
      <c r="D141" t="s">
        <v>40</v>
      </c>
      <c r="E141" t="s">
        <v>41</v>
      </c>
      <c r="F141" t="s">
        <v>326</v>
      </c>
      <c r="G141">
        <v>3</v>
      </c>
      <c r="H141" t="s">
        <v>86</v>
      </c>
      <c r="I141" t="s">
        <v>133</v>
      </c>
      <c r="J141" t="s">
        <v>603</v>
      </c>
      <c r="K141" t="s">
        <v>172</v>
      </c>
      <c r="L141" t="s">
        <v>16</v>
      </c>
      <c r="M141" t="s">
        <v>17</v>
      </c>
      <c r="O141">
        <v>4</v>
      </c>
      <c r="P141" t="s">
        <v>18</v>
      </c>
      <c r="Q141">
        <f>ABS(Table1[[#This Row],[Rate]]-Table1[[#This Row],[AI RATE]])</f>
        <v>1</v>
      </c>
      <c r="R141">
        <f>IF(Table1[[#This Row],[NEW RATING2]]&gt;0, Table1[[#This Row],[NEW RATING2]],Table1[[#This Row],[Rate]])</f>
        <v>3</v>
      </c>
      <c r="S141">
        <f>IF(Table1[[#This Row],[Rate]] =Table1[[#This Row],[AI RATE]],1, 0)</f>
        <v>0</v>
      </c>
    </row>
    <row r="142" spans="1:20" x14ac:dyDescent="0.35">
      <c r="A142">
        <v>2018</v>
      </c>
      <c r="B142">
        <v>14</v>
      </c>
      <c r="C142">
        <v>14</v>
      </c>
      <c r="D142" t="s">
        <v>53</v>
      </c>
      <c r="E142" t="s">
        <v>54</v>
      </c>
      <c r="F142" t="s">
        <v>327</v>
      </c>
      <c r="G142">
        <v>2</v>
      </c>
      <c r="H142" t="s">
        <v>48</v>
      </c>
      <c r="I142" t="s">
        <v>328</v>
      </c>
      <c r="J142" t="s">
        <v>151</v>
      </c>
      <c r="K142" t="s">
        <v>152</v>
      </c>
      <c r="L142" t="s">
        <v>153</v>
      </c>
      <c r="M142" t="s">
        <v>154</v>
      </c>
      <c r="N142" t="s">
        <v>314</v>
      </c>
      <c r="O142">
        <v>2</v>
      </c>
      <c r="P142" t="s">
        <v>18</v>
      </c>
      <c r="Q142">
        <f>ABS(Table1[[#This Row],[Rate]]-Table1[[#This Row],[AI RATE]])</f>
        <v>0</v>
      </c>
      <c r="R142">
        <f>IF(Table1[[#This Row],[NEW RATING2]]&gt;0, Table1[[#This Row],[NEW RATING2]],Table1[[#This Row],[Rate]])</f>
        <v>2</v>
      </c>
      <c r="S142">
        <f>IF(Table1[[#This Row],[Rate]] =Table1[[#This Row],[AI RATE]],1, 0)</f>
        <v>1</v>
      </c>
    </row>
    <row r="143" spans="1:20" x14ac:dyDescent="0.35">
      <c r="A143">
        <v>2018</v>
      </c>
      <c r="B143">
        <v>15</v>
      </c>
      <c r="C143">
        <v>15</v>
      </c>
      <c r="D143" t="s">
        <v>76</v>
      </c>
      <c r="E143" t="s">
        <v>77</v>
      </c>
      <c r="F143" t="s">
        <v>329</v>
      </c>
      <c r="G143">
        <v>4</v>
      </c>
      <c r="H143" t="s">
        <v>55</v>
      </c>
      <c r="I143" t="s">
        <v>113</v>
      </c>
      <c r="J143" t="s">
        <v>151</v>
      </c>
      <c r="K143" t="s">
        <v>152</v>
      </c>
      <c r="L143" t="s">
        <v>153</v>
      </c>
      <c r="M143" t="s">
        <v>154</v>
      </c>
      <c r="N143" t="s">
        <v>314</v>
      </c>
      <c r="O143">
        <v>4</v>
      </c>
      <c r="P143" t="s">
        <v>18</v>
      </c>
      <c r="Q143">
        <f>ABS(Table1[[#This Row],[Rate]]-Table1[[#This Row],[AI RATE]])</f>
        <v>0</v>
      </c>
      <c r="R143">
        <f>IF(Table1[[#This Row],[NEW RATING2]]&gt;0, Table1[[#This Row],[NEW RATING2]],Table1[[#This Row],[Rate]])</f>
        <v>4</v>
      </c>
      <c r="S143">
        <f>IF(Table1[[#This Row],[Rate]] =Table1[[#This Row],[AI RATE]],1, 0)</f>
        <v>1</v>
      </c>
    </row>
    <row r="144" spans="1:20" x14ac:dyDescent="0.35">
      <c r="A144">
        <v>2018</v>
      </c>
      <c r="B144">
        <v>16</v>
      </c>
      <c r="C144">
        <v>16</v>
      </c>
      <c r="D144" t="s">
        <v>102</v>
      </c>
      <c r="E144" t="s">
        <v>103</v>
      </c>
      <c r="F144" t="s">
        <v>330</v>
      </c>
      <c r="G144">
        <v>3</v>
      </c>
      <c r="H144" t="s">
        <v>123</v>
      </c>
      <c r="I144" t="s">
        <v>127</v>
      </c>
      <c r="J144" t="s">
        <v>151</v>
      </c>
      <c r="K144" t="s">
        <v>152</v>
      </c>
      <c r="L144" t="s">
        <v>153</v>
      </c>
      <c r="M144" t="s">
        <v>154</v>
      </c>
      <c r="N144" t="s">
        <v>314</v>
      </c>
      <c r="O144">
        <v>4</v>
      </c>
      <c r="P144" t="s">
        <v>18</v>
      </c>
      <c r="Q144">
        <f>ABS(Table1[[#This Row],[Rate]]-Table1[[#This Row],[AI RATE]])</f>
        <v>1</v>
      </c>
      <c r="R144">
        <f>IF(Table1[[#This Row],[NEW RATING2]]&gt;0, Table1[[#This Row],[NEW RATING2]],Table1[[#This Row],[Rate]])</f>
        <v>3</v>
      </c>
      <c r="S144">
        <f>IF(Table1[[#This Row],[Rate]] =Table1[[#This Row],[AI RATE]],1, 0)</f>
        <v>0</v>
      </c>
    </row>
    <row r="145" spans="1:19" x14ac:dyDescent="0.35">
      <c r="A145">
        <v>2018</v>
      </c>
      <c r="B145">
        <v>17</v>
      </c>
      <c r="C145">
        <v>17</v>
      </c>
      <c r="D145" t="s">
        <v>283</v>
      </c>
      <c r="E145" t="s">
        <v>284</v>
      </c>
      <c r="F145" t="s">
        <v>331</v>
      </c>
      <c r="G145">
        <v>5</v>
      </c>
      <c r="H145" t="s">
        <v>130</v>
      </c>
      <c r="I145" t="s">
        <v>64</v>
      </c>
      <c r="J145" t="s">
        <v>151</v>
      </c>
      <c r="K145" t="s">
        <v>152</v>
      </c>
      <c r="L145" t="s">
        <v>153</v>
      </c>
      <c r="M145" t="s">
        <v>154</v>
      </c>
      <c r="N145" t="s">
        <v>314</v>
      </c>
      <c r="O145">
        <v>5</v>
      </c>
      <c r="P145" t="s">
        <v>18</v>
      </c>
      <c r="Q145">
        <f>ABS(Table1[[#This Row],[Rate]]-Table1[[#This Row],[AI RATE]])</f>
        <v>0</v>
      </c>
      <c r="R145">
        <f>IF(Table1[[#This Row],[NEW RATING2]]&gt;0, Table1[[#This Row],[NEW RATING2]],Table1[[#This Row],[Rate]])</f>
        <v>5</v>
      </c>
      <c r="S145">
        <f>IF(Table1[[#This Row],[Rate]] =Table1[[#This Row],[AI RATE]],1, 0)</f>
        <v>1</v>
      </c>
    </row>
    <row r="146" spans="1:19" x14ac:dyDescent="0.35">
      <c r="A146">
        <v>2018</v>
      </c>
      <c r="B146">
        <v>18</v>
      </c>
      <c r="C146">
        <v>18</v>
      </c>
      <c r="D146" t="s">
        <v>78</v>
      </c>
      <c r="E146" t="s">
        <v>79</v>
      </c>
      <c r="F146" t="s">
        <v>332</v>
      </c>
      <c r="G146">
        <v>5</v>
      </c>
      <c r="H146" t="s">
        <v>124</v>
      </c>
      <c r="I146" t="s">
        <v>118</v>
      </c>
      <c r="J146" t="s">
        <v>151</v>
      </c>
      <c r="K146" t="s">
        <v>152</v>
      </c>
      <c r="L146" t="s">
        <v>153</v>
      </c>
      <c r="M146" t="s">
        <v>154</v>
      </c>
      <c r="N146" t="s">
        <v>314</v>
      </c>
      <c r="O146">
        <v>4</v>
      </c>
      <c r="P146" t="s">
        <v>18</v>
      </c>
      <c r="Q146">
        <f>ABS(Table1[[#This Row],[Rate]]-Table1[[#This Row],[AI RATE]])</f>
        <v>1</v>
      </c>
      <c r="R146">
        <f>IF(Table1[[#This Row],[NEW RATING2]]&gt;0, Table1[[#This Row],[NEW RATING2]],Table1[[#This Row],[Rate]])</f>
        <v>5</v>
      </c>
      <c r="S146">
        <f>IF(Table1[[#This Row],[Rate]] =Table1[[#This Row],[AI RATE]],1, 0)</f>
        <v>0</v>
      </c>
    </row>
    <row r="147" spans="1:19" x14ac:dyDescent="0.35">
      <c r="A147">
        <v>2018</v>
      </c>
      <c r="B147">
        <v>19</v>
      </c>
      <c r="C147">
        <v>19</v>
      </c>
      <c r="D147" t="s">
        <v>46</v>
      </c>
      <c r="E147" t="s">
        <v>47</v>
      </c>
      <c r="F147" t="s">
        <v>333</v>
      </c>
      <c r="G147">
        <v>4</v>
      </c>
      <c r="H147" t="s">
        <v>140</v>
      </c>
      <c r="I147" t="s">
        <v>125</v>
      </c>
      <c r="J147" t="s">
        <v>151</v>
      </c>
      <c r="K147" t="s">
        <v>152</v>
      </c>
      <c r="L147" t="s">
        <v>153</v>
      </c>
      <c r="M147" t="s">
        <v>154</v>
      </c>
      <c r="N147" t="s">
        <v>314</v>
      </c>
      <c r="O147">
        <v>3</v>
      </c>
      <c r="P147" t="s">
        <v>18</v>
      </c>
      <c r="Q147">
        <f>ABS(Table1[[#This Row],[Rate]]-Table1[[#This Row],[AI RATE]])</f>
        <v>1</v>
      </c>
      <c r="R147">
        <f>IF(Table1[[#This Row],[NEW RATING2]]&gt;0, Table1[[#This Row],[NEW RATING2]],Table1[[#This Row],[Rate]])</f>
        <v>4</v>
      </c>
      <c r="S147">
        <f>IF(Table1[[#This Row],[Rate]] =Table1[[#This Row],[AI RATE]],1, 0)</f>
        <v>0</v>
      </c>
    </row>
    <row r="148" spans="1:19" x14ac:dyDescent="0.35">
      <c r="A148">
        <v>2018</v>
      </c>
      <c r="B148">
        <v>20</v>
      </c>
      <c r="C148">
        <v>20</v>
      </c>
      <c r="D148" t="s">
        <v>42</v>
      </c>
      <c r="E148" t="s">
        <v>43</v>
      </c>
      <c r="F148" t="s">
        <v>334</v>
      </c>
      <c r="G148">
        <v>4</v>
      </c>
      <c r="H148" t="s">
        <v>220</v>
      </c>
      <c r="I148" t="s">
        <v>73</v>
      </c>
      <c r="J148" t="s">
        <v>603</v>
      </c>
      <c r="K148" t="s">
        <v>172</v>
      </c>
      <c r="L148" t="s">
        <v>16</v>
      </c>
      <c r="M148" t="s">
        <v>17</v>
      </c>
      <c r="O148">
        <v>5</v>
      </c>
      <c r="P148" t="s">
        <v>18</v>
      </c>
      <c r="Q148">
        <f>ABS(Table1[[#This Row],[Rate]]-Table1[[#This Row],[AI RATE]])</f>
        <v>1</v>
      </c>
      <c r="R148">
        <f>IF(Table1[[#This Row],[NEW RATING2]]&gt;0, Table1[[#This Row],[NEW RATING2]],Table1[[#This Row],[Rate]])</f>
        <v>4</v>
      </c>
      <c r="S148">
        <f>IF(Table1[[#This Row],[Rate]] =Table1[[#This Row],[AI RATE]],1, 0)</f>
        <v>0</v>
      </c>
    </row>
    <row r="149" spans="1:19" x14ac:dyDescent="0.35">
      <c r="A149">
        <v>2018</v>
      </c>
      <c r="B149">
        <v>21</v>
      </c>
      <c r="C149">
        <v>21</v>
      </c>
      <c r="D149" t="s">
        <v>65</v>
      </c>
      <c r="E149" t="s">
        <v>66</v>
      </c>
      <c r="F149" t="s">
        <v>335</v>
      </c>
      <c r="G149">
        <v>1</v>
      </c>
      <c r="H149" t="s">
        <v>220</v>
      </c>
      <c r="I149" t="s">
        <v>101</v>
      </c>
      <c r="J149" t="s">
        <v>603</v>
      </c>
      <c r="K149" t="s">
        <v>172</v>
      </c>
      <c r="L149" t="s">
        <v>16</v>
      </c>
      <c r="M149" t="s">
        <v>17</v>
      </c>
      <c r="O149">
        <v>1</v>
      </c>
      <c r="P149" t="s">
        <v>18</v>
      </c>
      <c r="Q149">
        <f>ABS(Table1[[#This Row],[Rate]]-Table1[[#This Row],[AI RATE]])</f>
        <v>0</v>
      </c>
      <c r="R149">
        <f>IF(Table1[[#This Row],[NEW RATING2]]&gt;0, Table1[[#This Row],[NEW RATING2]],Table1[[#This Row],[Rate]])</f>
        <v>1</v>
      </c>
      <c r="S149">
        <f>IF(Table1[[#This Row],[Rate]] =Table1[[#This Row],[AI RATE]],1, 0)</f>
        <v>1</v>
      </c>
    </row>
    <row r="150" spans="1:19" x14ac:dyDescent="0.35">
      <c r="A150">
        <v>2018</v>
      </c>
      <c r="B150">
        <v>22</v>
      </c>
      <c r="C150">
        <v>22</v>
      </c>
      <c r="D150" t="s">
        <v>32</v>
      </c>
      <c r="E150" t="s">
        <v>33</v>
      </c>
      <c r="F150" t="s">
        <v>336</v>
      </c>
      <c r="G150">
        <v>3</v>
      </c>
      <c r="H150" t="s">
        <v>140</v>
      </c>
      <c r="I150" t="s">
        <v>133</v>
      </c>
      <c r="J150" t="s">
        <v>151</v>
      </c>
      <c r="K150" t="s">
        <v>152</v>
      </c>
      <c r="L150" t="s">
        <v>153</v>
      </c>
      <c r="M150" t="s">
        <v>154</v>
      </c>
      <c r="N150" t="s">
        <v>314</v>
      </c>
      <c r="O150">
        <v>2</v>
      </c>
      <c r="P150" t="s">
        <v>18</v>
      </c>
      <c r="Q150">
        <f>ABS(Table1[[#This Row],[Rate]]-Table1[[#This Row],[AI RATE]])</f>
        <v>1</v>
      </c>
      <c r="R150">
        <f>IF(Table1[[#This Row],[NEW RATING2]]&gt;0, Table1[[#This Row],[NEW RATING2]],Table1[[#This Row],[Rate]])</f>
        <v>3</v>
      </c>
      <c r="S150">
        <f>IF(Table1[[#This Row],[Rate]] =Table1[[#This Row],[AI RATE]],1, 0)</f>
        <v>0</v>
      </c>
    </row>
    <row r="151" spans="1:19" x14ac:dyDescent="0.35">
      <c r="A151">
        <v>2018</v>
      </c>
      <c r="B151">
        <v>23</v>
      </c>
      <c r="C151">
        <v>23</v>
      </c>
      <c r="D151" t="s">
        <v>95</v>
      </c>
      <c r="E151" t="s">
        <v>96</v>
      </c>
      <c r="F151" t="s">
        <v>337</v>
      </c>
      <c r="G151">
        <v>2</v>
      </c>
      <c r="H151" t="s">
        <v>97</v>
      </c>
      <c r="I151" t="s">
        <v>59</v>
      </c>
      <c r="J151" t="s">
        <v>603</v>
      </c>
      <c r="K151" t="s">
        <v>172</v>
      </c>
      <c r="L151" t="s">
        <v>16</v>
      </c>
      <c r="M151" t="s">
        <v>17</v>
      </c>
      <c r="O151">
        <v>2</v>
      </c>
      <c r="P151" t="s">
        <v>18</v>
      </c>
      <c r="Q151">
        <f>ABS(Table1[[#This Row],[Rate]]-Table1[[#This Row],[AI RATE]])</f>
        <v>0</v>
      </c>
      <c r="R151">
        <f>IF(Table1[[#This Row],[NEW RATING2]]&gt;0, Table1[[#This Row],[NEW RATING2]],Table1[[#This Row],[Rate]])</f>
        <v>2</v>
      </c>
      <c r="S151">
        <f>IF(Table1[[#This Row],[Rate]] =Table1[[#This Row],[AI RATE]],1, 0)</f>
        <v>1</v>
      </c>
    </row>
    <row r="152" spans="1:19" x14ac:dyDescent="0.35">
      <c r="A152">
        <v>2018</v>
      </c>
      <c r="B152">
        <v>24</v>
      </c>
      <c r="C152">
        <v>24</v>
      </c>
      <c r="D152" t="s">
        <v>57</v>
      </c>
      <c r="E152" t="s">
        <v>58</v>
      </c>
      <c r="F152" t="s">
        <v>338</v>
      </c>
      <c r="G152">
        <v>4</v>
      </c>
      <c r="H152" t="s">
        <v>25</v>
      </c>
      <c r="I152" t="s">
        <v>52</v>
      </c>
      <c r="J152" t="s">
        <v>603</v>
      </c>
      <c r="K152" t="s">
        <v>172</v>
      </c>
      <c r="L152" t="s">
        <v>16</v>
      </c>
      <c r="M152" t="s">
        <v>17</v>
      </c>
      <c r="O152">
        <v>3</v>
      </c>
      <c r="P152" t="s">
        <v>18</v>
      </c>
      <c r="Q152">
        <f>ABS(Table1[[#This Row],[Rate]]-Table1[[#This Row],[AI RATE]])</f>
        <v>1</v>
      </c>
      <c r="R152">
        <f>IF(Table1[[#This Row],[NEW RATING2]]&gt;0, Table1[[#This Row],[NEW RATING2]],Table1[[#This Row],[Rate]])</f>
        <v>4</v>
      </c>
      <c r="S152">
        <f>IF(Table1[[#This Row],[Rate]] =Table1[[#This Row],[AI RATE]],1, 0)</f>
        <v>0</v>
      </c>
    </row>
    <row r="153" spans="1:19" x14ac:dyDescent="0.35">
      <c r="A153">
        <v>2018</v>
      </c>
      <c r="B153">
        <v>25</v>
      </c>
      <c r="C153">
        <v>25</v>
      </c>
      <c r="D153" t="s">
        <v>74</v>
      </c>
      <c r="E153" t="s">
        <v>75</v>
      </c>
      <c r="F153" t="s">
        <v>339</v>
      </c>
      <c r="G153">
        <v>2</v>
      </c>
      <c r="H153" t="s">
        <v>92</v>
      </c>
      <c r="I153" t="s">
        <v>37</v>
      </c>
      <c r="J153" t="s">
        <v>603</v>
      </c>
      <c r="K153" t="s">
        <v>172</v>
      </c>
      <c r="L153" t="s">
        <v>16</v>
      </c>
      <c r="M153" t="s">
        <v>17</v>
      </c>
      <c r="O153">
        <v>2</v>
      </c>
      <c r="P153" t="s">
        <v>18</v>
      </c>
      <c r="Q153">
        <f>ABS(Table1[[#This Row],[Rate]]-Table1[[#This Row],[AI RATE]])</f>
        <v>0</v>
      </c>
      <c r="R153">
        <f>IF(Table1[[#This Row],[NEW RATING2]]&gt;0, Table1[[#This Row],[NEW RATING2]],Table1[[#This Row],[Rate]])</f>
        <v>2</v>
      </c>
      <c r="S153">
        <f>IF(Table1[[#This Row],[Rate]] =Table1[[#This Row],[AI RATE]],1, 0)</f>
        <v>1</v>
      </c>
    </row>
    <row r="154" spans="1:19" x14ac:dyDescent="0.35">
      <c r="A154">
        <v>2018</v>
      </c>
      <c r="B154">
        <v>26</v>
      </c>
      <c r="C154">
        <v>26</v>
      </c>
      <c r="D154" t="s">
        <v>84</v>
      </c>
      <c r="E154" t="s">
        <v>85</v>
      </c>
      <c r="F154" t="s">
        <v>340</v>
      </c>
      <c r="G154">
        <v>4</v>
      </c>
      <c r="H154" t="s">
        <v>25</v>
      </c>
      <c r="I154" t="s">
        <v>133</v>
      </c>
      <c r="J154" t="s">
        <v>603</v>
      </c>
      <c r="K154" t="s">
        <v>172</v>
      </c>
      <c r="L154" t="s">
        <v>16</v>
      </c>
      <c r="M154" t="s">
        <v>17</v>
      </c>
      <c r="O154">
        <v>4</v>
      </c>
      <c r="P154" t="s">
        <v>18</v>
      </c>
      <c r="Q154">
        <f>ABS(Table1[[#This Row],[Rate]]-Table1[[#This Row],[AI RATE]])</f>
        <v>0</v>
      </c>
      <c r="R154">
        <f>IF(Table1[[#This Row],[NEW RATING2]]&gt;0, Table1[[#This Row],[NEW RATING2]],Table1[[#This Row],[Rate]])</f>
        <v>4</v>
      </c>
      <c r="S154">
        <f>IF(Table1[[#This Row],[Rate]] =Table1[[#This Row],[AI RATE]],1, 0)</f>
        <v>1</v>
      </c>
    </row>
    <row r="155" spans="1:19" x14ac:dyDescent="0.35">
      <c r="A155">
        <v>2018</v>
      </c>
      <c r="B155">
        <v>27</v>
      </c>
      <c r="C155">
        <v>27</v>
      </c>
      <c r="D155" t="s">
        <v>81</v>
      </c>
      <c r="E155" t="s">
        <v>82</v>
      </c>
      <c r="F155" t="s">
        <v>341</v>
      </c>
      <c r="G155">
        <v>3</v>
      </c>
      <c r="H155" t="s">
        <v>21</v>
      </c>
      <c r="I155" t="s">
        <v>342</v>
      </c>
      <c r="J155" t="s">
        <v>603</v>
      </c>
      <c r="K155" t="s">
        <v>172</v>
      </c>
      <c r="L155" t="s">
        <v>16</v>
      </c>
      <c r="M155" t="s">
        <v>17</v>
      </c>
      <c r="O155">
        <v>2</v>
      </c>
      <c r="P155" t="s">
        <v>18</v>
      </c>
      <c r="Q155">
        <f>ABS(Table1[[#This Row],[Rate]]-Table1[[#This Row],[AI RATE]])</f>
        <v>1</v>
      </c>
      <c r="R155">
        <f>IF(Table1[[#This Row],[NEW RATING2]]&gt;0, Table1[[#This Row],[NEW RATING2]],Table1[[#This Row],[Rate]])</f>
        <v>3</v>
      </c>
      <c r="S155">
        <f>IF(Table1[[#This Row],[Rate]] =Table1[[#This Row],[AI RATE]],1, 0)</f>
        <v>0</v>
      </c>
    </row>
    <row r="156" spans="1:19" x14ac:dyDescent="0.35">
      <c r="A156">
        <v>2018</v>
      </c>
      <c r="B156">
        <v>28</v>
      </c>
      <c r="C156">
        <v>28</v>
      </c>
      <c r="D156" t="s">
        <v>90</v>
      </c>
      <c r="E156" t="s">
        <v>91</v>
      </c>
      <c r="F156" t="s">
        <v>343</v>
      </c>
      <c r="G156">
        <v>3</v>
      </c>
      <c r="H156" t="s">
        <v>130</v>
      </c>
      <c r="I156" t="s">
        <v>127</v>
      </c>
      <c r="J156" t="s">
        <v>603</v>
      </c>
      <c r="K156" t="s">
        <v>172</v>
      </c>
      <c r="L156" t="s">
        <v>16</v>
      </c>
      <c r="M156" t="s">
        <v>17</v>
      </c>
      <c r="O156">
        <v>2</v>
      </c>
      <c r="P156" t="s">
        <v>18</v>
      </c>
      <c r="Q156">
        <f>ABS(Table1[[#This Row],[Rate]]-Table1[[#This Row],[AI RATE]])</f>
        <v>1</v>
      </c>
      <c r="R156">
        <f>IF(Table1[[#This Row],[NEW RATING2]]&gt;0, Table1[[#This Row],[NEW RATING2]],Table1[[#This Row],[Rate]])</f>
        <v>3</v>
      </c>
      <c r="S156">
        <f>IF(Table1[[#This Row],[Rate]] =Table1[[#This Row],[AI RATE]],1, 0)</f>
        <v>0</v>
      </c>
    </row>
    <row r="157" spans="1:19" x14ac:dyDescent="0.35">
      <c r="A157">
        <v>2018</v>
      </c>
      <c r="B157">
        <v>29</v>
      </c>
      <c r="C157">
        <v>29</v>
      </c>
      <c r="D157" t="s">
        <v>71</v>
      </c>
      <c r="E157" t="s">
        <v>72</v>
      </c>
      <c r="F157" t="s">
        <v>344</v>
      </c>
      <c r="G157">
        <v>1</v>
      </c>
      <c r="H157" t="s">
        <v>86</v>
      </c>
      <c r="I157" t="s">
        <v>120</v>
      </c>
      <c r="J157" t="s">
        <v>151</v>
      </c>
      <c r="K157" t="s">
        <v>152</v>
      </c>
      <c r="L157" t="s">
        <v>153</v>
      </c>
      <c r="M157" t="s">
        <v>154</v>
      </c>
      <c r="N157" t="s">
        <v>314</v>
      </c>
      <c r="O157">
        <v>1</v>
      </c>
      <c r="P157" t="s">
        <v>18</v>
      </c>
      <c r="Q157">
        <f>ABS(Table1[[#This Row],[Rate]]-Table1[[#This Row],[AI RATE]])</f>
        <v>0</v>
      </c>
      <c r="R157">
        <f>IF(Table1[[#This Row],[NEW RATING2]]&gt;0, Table1[[#This Row],[NEW RATING2]],Table1[[#This Row],[Rate]])</f>
        <v>1</v>
      </c>
      <c r="S157">
        <f>IF(Table1[[#This Row],[Rate]] =Table1[[#This Row],[AI RATE]],1, 0)</f>
        <v>1</v>
      </c>
    </row>
    <row r="158" spans="1:19" x14ac:dyDescent="0.35">
      <c r="A158">
        <v>2018</v>
      </c>
      <c r="B158">
        <v>30</v>
      </c>
      <c r="C158">
        <v>30</v>
      </c>
      <c r="D158" t="s">
        <v>35</v>
      </c>
      <c r="E158" t="s">
        <v>36</v>
      </c>
      <c r="F158" t="s">
        <v>345</v>
      </c>
      <c r="G158">
        <v>2</v>
      </c>
      <c r="H158" t="s">
        <v>124</v>
      </c>
      <c r="I158" t="s">
        <v>158</v>
      </c>
      <c r="J158" t="s">
        <v>603</v>
      </c>
      <c r="K158" t="s">
        <v>172</v>
      </c>
      <c r="L158" t="s">
        <v>16</v>
      </c>
      <c r="M158" t="s">
        <v>17</v>
      </c>
      <c r="O158">
        <v>2</v>
      </c>
      <c r="P158" t="s">
        <v>18</v>
      </c>
      <c r="Q158">
        <f>ABS(Table1[[#This Row],[Rate]]-Table1[[#This Row],[AI RATE]])</f>
        <v>0</v>
      </c>
      <c r="R158">
        <f>IF(Table1[[#This Row],[NEW RATING2]]&gt;0, Table1[[#This Row],[NEW RATING2]],Table1[[#This Row],[Rate]])</f>
        <v>2</v>
      </c>
      <c r="S158">
        <f>IF(Table1[[#This Row],[Rate]] =Table1[[#This Row],[AI RATE]],1, 0)</f>
        <v>1</v>
      </c>
    </row>
    <row r="159" spans="1:19" x14ac:dyDescent="0.35">
      <c r="A159">
        <v>2018</v>
      </c>
      <c r="B159">
        <v>31</v>
      </c>
      <c r="C159">
        <v>31</v>
      </c>
      <c r="D159" t="s">
        <v>95</v>
      </c>
      <c r="E159" t="s">
        <v>96</v>
      </c>
      <c r="F159" t="s">
        <v>346</v>
      </c>
      <c r="G159">
        <v>2</v>
      </c>
      <c r="H159" t="s">
        <v>21</v>
      </c>
      <c r="I159" t="s">
        <v>59</v>
      </c>
      <c r="J159" t="s">
        <v>603</v>
      </c>
      <c r="K159" t="s">
        <v>172</v>
      </c>
      <c r="L159" t="s">
        <v>16</v>
      </c>
      <c r="M159" t="s">
        <v>17</v>
      </c>
      <c r="O159">
        <v>3</v>
      </c>
      <c r="P159" t="s">
        <v>18</v>
      </c>
      <c r="Q159">
        <f>ABS(Table1[[#This Row],[Rate]]-Table1[[#This Row],[AI RATE]])</f>
        <v>1</v>
      </c>
      <c r="R159">
        <f>IF(Table1[[#This Row],[NEW RATING2]]&gt;0, Table1[[#This Row],[NEW RATING2]],Table1[[#This Row],[Rate]])</f>
        <v>2</v>
      </c>
      <c r="S159">
        <f>IF(Table1[[#This Row],[Rate]] =Table1[[#This Row],[AI RATE]],1, 0)</f>
        <v>0</v>
      </c>
    </row>
    <row r="160" spans="1:19" x14ac:dyDescent="0.35">
      <c r="A160">
        <v>2018</v>
      </c>
      <c r="B160">
        <v>32</v>
      </c>
      <c r="C160">
        <v>32</v>
      </c>
      <c r="D160" t="s">
        <v>74</v>
      </c>
      <c r="E160" t="s">
        <v>75</v>
      </c>
      <c r="F160" t="s">
        <v>347</v>
      </c>
      <c r="G160">
        <v>5</v>
      </c>
      <c r="H160" t="s">
        <v>14</v>
      </c>
      <c r="I160" t="s">
        <v>118</v>
      </c>
      <c r="J160" t="s">
        <v>151</v>
      </c>
      <c r="K160" t="s">
        <v>152</v>
      </c>
      <c r="L160" t="s">
        <v>153</v>
      </c>
      <c r="M160" t="s">
        <v>154</v>
      </c>
      <c r="N160" t="s">
        <v>314</v>
      </c>
      <c r="O160">
        <v>5</v>
      </c>
      <c r="P160" t="s">
        <v>18</v>
      </c>
      <c r="Q160">
        <f>ABS(Table1[[#This Row],[Rate]]-Table1[[#This Row],[AI RATE]])</f>
        <v>0</v>
      </c>
      <c r="R160">
        <f>IF(Table1[[#This Row],[NEW RATING2]]&gt;0, Table1[[#This Row],[NEW RATING2]],Table1[[#This Row],[Rate]])</f>
        <v>5</v>
      </c>
      <c r="S160">
        <f>IF(Table1[[#This Row],[Rate]] =Table1[[#This Row],[AI RATE]],1, 0)</f>
        <v>1</v>
      </c>
    </row>
    <row r="161" spans="1:20" x14ac:dyDescent="0.35">
      <c r="A161">
        <v>2019</v>
      </c>
      <c r="B161">
        <v>1</v>
      </c>
      <c r="C161">
        <v>1</v>
      </c>
      <c r="D161" t="s">
        <v>38</v>
      </c>
      <c r="E161" t="s">
        <v>39</v>
      </c>
      <c r="F161" t="s">
        <v>348</v>
      </c>
      <c r="G161">
        <v>4</v>
      </c>
      <c r="H161" t="s">
        <v>14</v>
      </c>
      <c r="I161" t="s">
        <v>56</v>
      </c>
      <c r="J161" t="s">
        <v>151</v>
      </c>
      <c r="K161" t="s">
        <v>152</v>
      </c>
      <c r="L161" t="s">
        <v>153</v>
      </c>
      <c r="M161" t="s">
        <v>154</v>
      </c>
      <c r="N161" t="s">
        <v>349</v>
      </c>
      <c r="O161">
        <v>3</v>
      </c>
      <c r="P161" t="s">
        <v>18</v>
      </c>
      <c r="Q161">
        <f>ABS(Table1[[#This Row],[Rate]]-Table1[[#This Row],[AI RATE]])</f>
        <v>1</v>
      </c>
      <c r="R161">
        <f>IF(Table1[[#This Row],[NEW RATING2]]&gt;0, Table1[[#This Row],[NEW RATING2]],Table1[[#This Row],[Rate]])</f>
        <v>4</v>
      </c>
      <c r="S161">
        <f>IF(Table1[[#This Row],[Rate]] =Table1[[#This Row],[AI RATE]],1, 0)</f>
        <v>0</v>
      </c>
    </row>
    <row r="162" spans="1:20" x14ac:dyDescent="0.35">
      <c r="A162">
        <v>2019</v>
      </c>
      <c r="B162">
        <v>2</v>
      </c>
      <c r="C162">
        <v>2</v>
      </c>
      <c r="D162" t="s">
        <v>12</v>
      </c>
      <c r="E162" t="s">
        <v>13</v>
      </c>
      <c r="F162" t="s">
        <v>350</v>
      </c>
      <c r="G162">
        <v>5</v>
      </c>
      <c r="H162" t="s">
        <v>48</v>
      </c>
      <c r="I162" t="s">
        <v>101</v>
      </c>
      <c r="J162" t="s">
        <v>151</v>
      </c>
      <c r="K162" t="s">
        <v>152</v>
      </c>
      <c r="L162" t="s">
        <v>153</v>
      </c>
      <c r="M162" t="s">
        <v>154</v>
      </c>
      <c r="N162" t="s">
        <v>349</v>
      </c>
      <c r="O162">
        <v>5</v>
      </c>
      <c r="P162" t="s">
        <v>18</v>
      </c>
      <c r="Q162">
        <f>ABS(Table1[[#This Row],[Rate]]-Table1[[#This Row],[AI RATE]])</f>
        <v>0</v>
      </c>
      <c r="R162">
        <f>IF(Table1[[#This Row],[NEW RATING2]]&gt;0, Table1[[#This Row],[NEW RATING2]],Table1[[#This Row],[Rate]])</f>
        <v>5</v>
      </c>
      <c r="S162">
        <f>IF(Table1[[#This Row],[Rate]] =Table1[[#This Row],[AI RATE]],1, 0)</f>
        <v>1</v>
      </c>
    </row>
    <row r="163" spans="1:20" x14ac:dyDescent="0.35">
      <c r="A163">
        <v>2019</v>
      </c>
      <c r="B163">
        <v>3</v>
      </c>
      <c r="C163">
        <v>3</v>
      </c>
      <c r="D163" t="s">
        <v>99</v>
      </c>
      <c r="E163" t="s">
        <v>100</v>
      </c>
      <c r="F163" t="s">
        <v>351</v>
      </c>
      <c r="G163">
        <v>5</v>
      </c>
      <c r="H163" t="s">
        <v>86</v>
      </c>
      <c r="I163" t="s">
        <v>133</v>
      </c>
      <c r="J163" t="s">
        <v>151</v>
      </c>
      <c r="K163" t="s">
        <v>152</v>
      </c>
      <c r="L163" t="s">
        <v>153</v>
      </c>
      <c r="M163" t="s">
        <v>154</v>
      </c>
      <c r="N163" t="s">
        <v>349</v>
      </c>
      <c r="O163">
        <v>5</v>
      </c>
      <c r="P163" t="s">
        <v>18</v>
      </c>
      <c r="Q163">
        <f>ABS(Table1[[#This Row],[Rate]]-Table1[[#This Row],[AI RATE]])</f>
        <v>0</v>
      </c>
      <c r="R163">
        <f>IF(Table1[[#This Row],[NEW RATING2]]&gt;0, Table1[[#This Row],[NEW RATING2]],Table1[[#This Row],[Rate]])</f>
        <v>5</v>
      </c>
      <c r="S163">
        <f>IF(Table1[[#This Row],[Rate]] =Table1[[#This Row],[AI RATE]],1, 0)</f>
        <v>1</v>
      </c>
    </row>
    <row r="164" spans="1:20" x14ac:dyDescent="0.35">
      <c r="A164">
        <v>2019</v>
      </c>
      <c r="B164">
        <v>4</v>
      </c>
      <c r="C164">
        <v>4</v>
      </c>
      <c r="D164" t="s">
        <v>76</v>
      </c>
      <c r="E164" t="s">
        <v>77</v>
      </c>
      <c r="F164" t="s">
        <v>352</v>
      </c>
      <c r="G164">
        <v>1</v>
      </c>
      <c r="H164" t="s">
        <v>48</v>
      </c>
      <c r="I164" t="s">
        <v>107</v>
      </c>
      <c r="J164" t="s">
        <v>603</v>
      </c>
      <c r="K164" t="s">
        <v>172</v>
      </c>
      <c r="L164" t="s">
        <v>16</v>
      </c>
      <c r="M164" t="s">
        <v>17</v>
      </c>
      <c r="O164">
        <v>1</v>
      </c>
      <c r="P164" t="s">
        <v>18</v>
      </c>
      <c r="Q164">
        <f>ABS(Table1[[#This Row],[Rate]]-Table1[[#This Row],[AI RATE]])</f>
        <v>0</v>
      </c>
      <c r="R164">
        <f>IF(Table1[[#This Row],[NEW RATING2]]&gt;0, Table1[[#This Row],[NEW RATING2]],Table1[[#This Row],[Rate]])</f>
        <v>1</v>
      </c>
      <c r="S164">
        <f>IF(Table1[[#This Row],[Rate]] =Table1[[#This Row],[AI RATE]],1, 0)</f>
        <v>1</v>
      </c>
    </row>
    <row r="165" spans="1:20" x14ac:dyDescent="0.35">
      <c r="A165">
        <v>2019</v>
      </c>
      <c r="B165">
        <v>5</v>
      </c>
      <c r="C165">
        <v>5</v>
      </c>
      <c r="D165" t="s">
        <v>30</v>
      </c>
      <c r="E165" t="s">
        <v>31</v>
      </c>
      <c r="F165" t="s">
        <v>353</v>
      </c>
      <c r="G165">
        <v>4</v>
      </c>
      <c r="H165" t="s">
        <v>140</v>
      </c>
      <c r="I165" t="s">
        <v>70</v>
      </c>
      <c r="J165" t="s">
        <v>151</v>
      </c>
      <c r="K165" t="s">
        <v>152</v>
      </c>
      <c r="L165" t="s">
        <v>153</v>
      </c>
      <c r="M165" t="s">
        <v>154</v>
      </c>
      <c r="N165" t="s">
        <v>349</v>
      </c>
      <c r="O165">
        <v>3</v>
      </c>
      <c r="P165" t="s">
        <v>18</v>
      </c>
      <c r="Q165">
        <f>ABS(Table1[[#This Row],[Rate]]-Table1[[#This Row],[AI RATE]])</f>
        <v>1</v>
      </c>
      <c r="R165">
        <f>IF(Table1[[#This Row],[NEW RATING2]]&gt;0, Table1[[#This Row],[NEW RATING2]],Table1[[#This Row],[Rate]])</f>
        <v>4</v>
      </c>
      <c r="S165">
        <f>IF(Table1[[#This Row],[Rate]] =Table1[[#This Row],[AI RATE]],1, 0)</f>
        <v>0</v>
      </c>
    </row>
    <row r="166" spans="1:20" x14ac:dyDescent="0.35">
      <c r="A166">
        <v>2019</v>
      </c>
      <c r="B166">
        <v>6</v>
      </c>
      <c r="C166">
        <v>6</v>
      </c>
      <c r="D166" t="s">
        <v>115</v>
      </c>
      <c r="E166" t="s">
        <v>116</v>
      </c>
      <c r="F166" t="s">
        <v>354</v>
      </c>
      <c r="G166">
        <v>3</v>
      </c>
      <c r="H166" t="s">
        <v>14</v>
      </c>
      <c r="I166" t="s">
        <v>231</v>
      </c>
      <c r="J166" t="s">
        <v>151</v>
      </c>
      <c r="K166" t="s">
        <v>152</v>
      </c>
      <c r="L166" t="s">
        <v>153</v>
      </c>
      <c r="M166" t="s">
        <v>154</v>
      </c>
      <c r="N166" t="s">
        <v>349</v>
      </c>
      <c r="O166">
        <v>2</v>
      </c>
      <c r="P166" t="s">
        <v>18</v>
      </c>
      <c r="Q166">
        <f>ABS(Table1[[#This Row],[Rate]]-Table1[[#This Row],[AI RATE]])</f>
        <v>1</v>
      </c>
      <c r="R166">
        <f>IF(Table1[[#This Row],[NEW RATING2]]&gt;0, Table1[[#This Row],[NEW RATING2]],Table1[[#This Row],[Rate]])</f>
        <v>3</v>
      </c>
      <c r="S166">
        <f>IF(Table1[[#This Row],[Rate]] =Table1[[#This Row],[AI RATE]],1, 0)</f>
        <v>0</v>
      </c>
    </row>
    <row r="167" spans="1:20" x14ac:dyDescent="0.35">
      <c r="A167">
        <v>2019</v>
      </c>
      <c r="B167">
        <v>7</v>
      </c>
      <c r="C167">
        <v>7</v>
      </c>
      <c r="D167" t="s">
        <v>71</v>
      </c>
      <c r="E167" t="s">
        <v>72</v>
      </c>
      <c r="F167" t="s">
        <v>319</v>
      </c>
      <c r="G167">
        <v>5</v>
      </c>
      <c r="H167" t="s">
        <v>123</v>
      </c>
      <c r="I167" t="s">
        <v>224</v>
      </c>
      <c r="J167" t="s">
        <v>151</v>
      </c>
      <c r="K167" t="s">
        <v>152</v>
      </c>
      <c r="L167" t="s">
        <v>153</v>
      </c>
      <c r="M167" t="s">
        <v>154</v>
      </c>
      <c r="N167" t="s">
        <v>349</v>
      </c>
      <c r="O167">
        <v>4</v>
      </c>
      <c r="P167" t="s">
        <v>18</v>
      </c>
      <c r="Q167">
        <f>ABS(Table1[[#This Row],[Rate]]-Table1[[#This Row],[AI RATE]])</f>
        <v>1</v>
      </c>
      <c r="R167">
        <f>IF(Table1[[#This Row],[NEW RATING2]]&gt;0, Table1[[#This Row],[NEW RATING2]],Table1[[#This Row],[Rate]])</f>
        <v>5</v>
      </c>
      <c r="S167">
        <f>IF(Table1[[#This Row],[Rate]] =Table1[[#This Row],[AI RATE]],1, 0)</f>
        <v>0</v>
      </c>
    </row>
    <row r="168" spans="1:20" x14ac:dyDescent="0.35">
      <c r="A168">
        <v>2019</v>
      </c>
      <c r="B168">
        <v>8</v>
      </c>
      <c r="C168">
        <v>8</v>
      </c>
      <c r="D168" t="s">
        <v>42</v>
      </c>
      <c r="E168" t="s">
        <v>43</v>
      </c>
      <c r="F168" t="s">
        <v>355</v>
      </c>
      <c r="G168">
        <v>4</v>
      </c>
      <c r="H168" t="s">
        <v>92</v>
      </c>
      <c r="I168" t="s">
        <v>109</v>
      </c>
      <c r="J168" t="s">
        <v>151</v>
      </c>
      <c r="K168" t="s">
        <v>152</v>
      </c>
      <c r="L168" t="s">
        <v>153</v>
      </c>
      <c r="M168" t="s">
        <v>154</v>
      </c>
      <c r="N168" t="s">
        <v>349</v>
      </c>
      <c r="O168">
        <v>4</v>
      </c>
      <c r="P168" t="s">
        <v>18</v>
      </c>
      <c r="Q168">
        <f>ABS(Table1[[#This Row],[Rate]]-Table1[[#This Row],[AI RATE]])</f>
        <v>0</v>
      </c>
      <c r="R168">
        <f>IF(Table1[[#This Row],[NEW RATING2]]&gt;0, Table1[[#This Row],[NEW RATING2]],Table1[[#This Row],[Rate]])</f>
        <v>4</v>
      </c>
      <c r="S168">
        <f>IF(Table1[[#This Row],[Rate]] =Table1[[#This Row],[AI RATE]],1, 0)</f>
        <v>1</v>
      </c>
    </row>
    <row r="169" spans="1:20" x14ac:dyDescent="0.35">
      <c r="A169">
        <v>2019</v>
      </c>
      <c r="B169">
        <v>9</v>
      </c>
      <c r="C169">
        <v>9</v>
      </c>
      <c r="D169" t="s">
        <v>102</v>
      </c>
      <c r="E169" t="s">
        <v>103</v>
      </c>
      <c r="F169" t="s">
        <v>356</v>
      </c>
      <c r="G169">
        <v>4</v>
      </c>
      <c r="H169" t="s">
        <v>86</v>
      </c>
      <c r="I169" t="s">
        <v>149</v>
      </c>
      <c r="J169" t="s">
        <v>151</v>
      </c>
      <c r="K169" t="s">
        <v>152</v>
      </c>
      <c r="L169" t="s">
        <v>153</v>
      </c>
      <c r="M169" t="s">
        <v>154</v>
      </c>
      <c r="N169" t="s">
        <v>349</v>
      </c>
      <c r="O169">
        <v>3</v>
      </c>
      <c r="P169" t="s">
        <v>18</v>
      </c>
      <c r="Q169">
        <f>ABS(Table1[[#This Row],[Rate]]-Table1[[#This Row],[AI RATE]])</f>
        <v>1</v>
      </c>
      <c r="R169">
        <f>IF(Table1[[#This Row],[NEW RATING2]]&gt;0, Table1[[#This Row],[NEW RATING2]],Table1[[#This Row],[Rate]])</f>
        <v>4</v>
      </c>
      <c r="S169">
        <f>IF(Table1[[#This Row],[Rate]] =Table1[[#This Row],[AI RATE]],1, 0)</f>
        <v>0</v>
      </c>
    </row>
    <row r="170" spans="1:20" x14ac:dyDescent="0.35">
      <c r="A170">
        <v>2019</v>
      </c>
      <c r="B170">
        <v>10</v>
      </c>
      <c r="C170">
        <v>10</v>
      </c>
      <c r="D170" t="s">
        <v>90</v>
      </c>
      <c r="E170" t="s">
        <v>91</v>
      </c>
      <c r="F170" t="s">
        <v>357</v>
      </c>
      <c r="G170">
        <v>3</v>
      </c>
      <c r="H170" t="s">
        <v>140</v>
      </c>
      <c r="I170" t="s">
        <v>26</v>
      </c>
      <c r="J170" t="s">
        <v>151</v>
      </c>
      <c r="K170" t="s">
        <v>152</v>
      </c>
      <c r="L170" t="s">
        <v>153</v>
      </c>
      <c r="M170" t="s">
        <v>154</v>
      </c>
      <c r="N170" t="s">
        <v>349</v>
      </c>
      <c r="O170">
        <v>1</v>
      </c>
      <c r="P170" t="s">
        <v>18</v>
      </c>
      <c r="Q170">
        <f>ABS(Table1[[#This Row],[Rate]]-Table1[[#This Row],[AI RATE]])</f>
        <v>2</v>
      </c>
      <c r="R170">
        <f>IF(Table1[[#This Row],[NEW RATING2]]&gt;0, Table1[[#This Row],[NEW RATING2]],Table1[[#This Row],[Rate]])</f>
        <v>3</v>
      </c>
      <c r="S170">
        <f>IF(Table1[[#This Row],[Rate]] =Table1[[#This Row],[AI RATE]],1, 0)</f>
        <v>0</v>
      </c>
      <c r="T170">
        <v>3</v>
      </c>
    </row>
    <row r="171" spans="1:20" x14ac:dyDescent="0.35">
      <c r="A171">
        <v>2019</v>
      </c>
      <c r="B171">
        <v>11</v>
      </c>
      <c r="C171">
        <v>11</v>
      </c>
      <c r="D171" t="s">
        <v>65</v>
      </c>
      <c r="E171" t="s">
        <v>66</v>
      </c>
      <c r="F171" t="s">
        <v>358</v>
      </c>
      <c r="G171">
        <v>4</v>
      </c>
      <c r="H171" t="s">
        <v>55</v>
      </c>
      <c r="I171" t="s">
        <v>133</v>
      </c>
      <c r="J171" t="s">
        <v>151</v>
      </c>
      <c r="K171" t="s">
        <v>152</v>
      </c>
      <c r="L171" t="s">
        <v>153</v>
      </c>
      <c r="M171" t="s">
        <v>154</v>
      </c>
      <c r="N171" t="s">
        <v>349</v>
      </c>
      <c r="O171">
        <v>3</v>
      </c>
      <c r="P171" t="s">
        <v>18</v>
      </c>
      <c r="Q171">
        <f>ABS(Table1[[#This Row],[Rate]]-Table1[[#This Row],[AI RATE]])</f>
        <v>1</v>
      </c>
      <c r="R171">
        <f>IF(Table1[[#This Row],[NEW RATING2]]&gt;0, Table1[[#This Row],[NEW RATING2]],Table1[[#This Row],[Rate]])</f>
        <v>4</v>
      </c>
      <c r="S171">
        <f>IF(Table1[[#This Row],[Rate]] =Table1[[#This Row],[AI RATE]],1, 0)</f>
        <v>0</v>
      </c>
    </row>
    <row r="172" spans="1:20" x14ac:dyDescent="0.35">
      <c r="A172">
        <v>2019</v>
      </c>
      <c r="B172">
        <v>12</v>
      </c>
      <c r="C172">
        <v>12</v>
      </c>
      <c r="D172" t="s">
        <v>78</v>
      </c>
      <c r="E172" t="s">
        <v>79</v>
      </c>
      <c r="F172" t="s">
        <v>359</v>
      </c>
      <c r="G172">
        <v>4</v>
      </c>
      <c r="H172" t="s">
        <v>48</v>
      </c>
      <c r="I172" t="s">
        <v>26</v>
      </c>
      <c r="J172" t="s">
        <v>151</v>
      </c>
      <c r="K172" t="s">
        <v>152</v>
      </c>
      <c r="L172" t="s">
        <v>153</v>
      </c>
      <c r="M172" t="s">
        <v>154</v>
      </c>
      <c r="N172" t="s">
        <v>349</v>
      </c>
      <c r="O172">
        <v>4</v>
      </c>
      <c r="P172" t="s">
        <v>18</v>
      </c>
      <c r="Q172">
        <f>ABS(Table1[[#This Row],[Rate]]-Table1[[#This Row],[AI RATE]])</f>
        <v>0</v>
      </c>
      <c r="R172">
        <f>IF(Table1[[#This Row],[NEW RATING2]]&gt;0, Table1[[#This Row],[NEW RATING2]],Table1[[#This Row],[Rate]])</f>
        <v>4</v>
      </c>
      <c r="S172">
        <f>IF(Table1[[#This Row],[Rate]] =Table1[[#This Row],[AI RATE]],1, 0)</f>
        <v>1</v>
      </c>
    </row>
    <row r="173" spans="1:20" x14ac:dyDescent="0.35">
      <c r="A173">
        <v>2019</v>
      </c>
      <c r="B173">
        <v>13</v>
      </c>
      <c r="C173">
        <v>13</v>
      </c>
      <c r="D173" t="s">
        <v>19</v>
      </c>
      <c r="E173" t="s">
        <v>20</v>
      </c>
      <c r="F173" t="s">
        <v>360</v>
      </c>
      <c r="G173">
        <v>3</v>
      </c>
      <c r="H173" t="s">
        <v>86</v>
      </c>
      <c r="I173" t="s">
        <v>107</v>
      </c>
      <c r="J173" t="s">
        <v>151</v>
      </c>
      <c r="K173" t="s">
        <v>152</v>
      </c>
      <c r="L173" t="s">
        <v>153</v>
      </c>
      <c r="M173" t="s">
        <v>154</v>
      </c>
      <c r="N173" t="s">
        <v>349</v>
      </c>
      <c r="O173">
        <v>4</v>
      </c>
      <c r="P173" t="s">
        <v>18</v>
      </c>
      <c r="Q173">
        <f>ABS(Table1[[#This Row],[Rate]]-Table1[[#This Row],[AI RATE]])</f>
        <v>1</v>
      </c>
      <c r="R173">
        <f>IF(Table1[[#This Row],[NEW RATING2]]&gt;0, Table1[[#This Row],[NEW RATING2]],Table1[[#This Row],[Rate]])</f>
        <v>3</v>
      </c>
      <c r="S173">
        <f>IF(Table1[[#This Row],[Rate]] =Table1[[#This Row],[AI RATE]],1, 0)</f>
        <v>0</v>
      </c>
    </row>
    <row r="174" spans="1:20" x14ac:dyDescent="0.35">
      <c r="A174">
        <v>2019</v>
      </c>
      <c r="B174">
        <v>14</v>
      </c>
      <c r="C174">
        <v>14</v>
      </c>
      <c r="D174" t="s">
        <v>84</v>
      </c>
      <c r="E174" t="s">
        <v>85</v>
      </c>
      <c r="F174" t="s">
        <v>361</v>
      </c>
      <c r="G174">
        <v>5</v>
      </c>
      <c r="H174" t="s">
        <v>97</v>
      </c>
      <c r="I174" t="s">
        <v>117</v>
      </c>
      <c r="J174" t="s">
        <v>603</v>
      </c>
      <c r="K174" t="s">
        <v>172</v>
      </c>
      <c r="L174" t="s">
        <v>16</v>
      </c>
      <c r="M174" t="s">
        <v>17</v>
      </c>
      <c r="O174">
        <v>5</v>
      </c>
      <c r="P174" t="s">
        <v>18</v>
      </c>
      <c r="Q174">
        <f>ABS(Table1[[#This Row],[Rate]]-Table1[[#This Row],[AI RATE]])</f>
        <v>0</v>
      </c>
      <c r="R174">
        <f>IF(Table1[[#This Row],[NEW RATING2]]&gt;0, Table1[[#This Row],[NEW RATING2]],Table1[[#This Row],[Rate]])</f>
        <v>5</v>
      </c>
      <c r="S174">
        <f>IF(Table1[[#This Row],[Rate]] =Table1[[#This Row],[AI RATE]],1, 0)</f>
        <v>1</v>
      </c>
    </row>
    <row r="175" spans="1:20" x14ac:dyDescent="0.35">
      <c r="A175">
        <v>2019</v>
      </c>
      <c r="B175">
        <v>16</v>
      </c>
      <c r="C175">
        <v>16</v>
      </c>
      <c r="D175" t="s">
        <v>57</v>
      </c>
      <c r="E175" t="s">
        <v>58</v>
      </c>
      <c r="F175" t="s">
        <v>362</v>
      </c>
      <c r="G175">
        <v>4</v>
      </c>
      <c r="H175" t="s">
        <v>123</v>
      </c>
      <c r="I175" t="s">
        <v>64</v>
      </c>
      <c r="J175" t="s">
        <v>151</v>
      </c>
      <c r="K175" t="s">
        <v>152</v>
      </c>
      <c r="L175" t="s">
        <v>153</v>
      </c>
      <c r="M175" t="s">
        <v>154</v>
      </c>
      <c r="N175" t="s">
        <v>349</v>
      </c>
      <c r="O175">
        <v>4</v>
      </c>
      <c r="P175" t="s">
        <v>18</v>
      </c>
      <c r="Q175">
        <f>ABS(Table1[[#This Row],[Rate]]-Table1[[#This Row],[AI RATE]])</f>
        <v>0</v>
      </c>
      <c r="R175">
        <f>IF(Table1[[#This Row],[NEW RATING2]]&gt;0, Table1[[#This Row],[NEW RATING2]],Table1[[#This Row],[Rate]])</f>
        <v>4</v>
      </c>
      <c r="S175">
        <f>IF(Table1[[#This Row],[Rate]] =Table1[[#This Row],[AI RATE]],1, 0)</f>
        <v>1</v>
      </c>
    </row>
    <row r="176" spans="1:20" x14ac:dyDescent="0.35">
      <c r="A176">
        <v>2019</v>
      </c>
      <c r="B176">
        <v>17</v>
      </c>
      <c r="C176">
        <v>17</v>
      </c>
      <c r="D176" t="s">
        <v>115</v>
      </c>
      <c r="E176" t="s">
        <v>116</v>
      </c>
      <c r="F176" t="s">
        <v>363</v>
      </c>
      <c r="G176">
        <v>5</v>
      </c>
      <c r="H176" t="s">
        <v>86</v>
      </c>
      <c r="I176" t="s">
        <v>107</v>
      </c>
      <c r="J176" t="s">
        <v>603</v>
      </c>
      <c r="K176" t="s">
        <v>172</v>
      </c>
      <c r="L176" t="s">
        <v>16</v>
      </c>
      <c r="M176" t="s">
        <v>17</v>
      </c>
      <c r="O176">
        <v>5</v>
      </c>
      <c r="P176" t="s">
        <v>18</v>
      </c>
      <c r="Q176">
        <f>ABS(Table1[[#This Row],[Rate]]-Table1[[#This Row],[AI RATE]])</f>
        <v>0</v>
      </c>
      <c r="R176">
        <f>IF(Table1[[#This Row],[NEW RATING2]]&gt;0, Table1[[#This Row],[NEW RATING2]],Table1[[#This Row],[Rate]])</f>
        <v>5</v>
      </c>
      <c r="S176">
        <f>IF(Table1[[#This Row],[Rate]] =Table1[[#This Row],[AI RATE]],1, 0)</f>
        <v>1</v>
      </c>
    </row>
    <row r="177" spans="1:19" x14ac:dyDescent="0.35">
      <c r="A177">
        <v>2019</v>
      </c>
      <c r="B177">
        <v>18</v>
      </c>
      <c r="C177">
        <v>18</v>
      </c>
      <c r="D177" t="s">
        <v>35</v>
      </c>
      <c r="E177" t="s">
        <v>36</v>
      </c>
      <c r="F177" t="s">
        <v>364</v>
      </c>
      <c r="G177">
        <v>2</v>
      </c>
      <c r="H177" t="s">
        <v>220</v>
      </c>
      <c r="I177" t="s">
        <v>98</v>
      </c>
      <c r="J177" t="s">
        <v>603</v>
      </c>
      <c r="K177" t="s">
        <v>172</v>
      </c>
      <c r="L177" t="s">
        <v>16</v>
      </c>
      <c r="M177" t="s">
        <v>17</v>
      </c>
      <c r="O177">
        <v>3</v>
      </c>
      <c r="P177" t="s">
        <v>18</v>
      </c>
      <c r="Q177">
        <f>ABS(Table1[[#This Row],[Rate]]-Table1[[#This Row],[AI RATE]])</f>
        <v>1</v>
      </c>
      <c r="R177">
        <f>IF(Table1[[#This Row],[NEW RATING2]]&gt;0, Table1[[#This Row],[NEW RATING2]],Table1[[#This Row],[Rate]])</f>
        <v>2</v>
      </c>
      <c r="S177">
        <f>IF(Table1[[#This Row],[Rate]] =Table1[[#This Row],[AI RATE]],1, 0)</f>
        <v>0</v>
      </c>
    </row>
    <row r="178" spans="1:19" x14ac:dyDescent="0.35">
      <c r="A178">
        <v>2019</v>
      </c>
      <c r="B178">
        <v>19</v>
      </c>
      <c r="C178">
        <v>19</v>
      </c>
      <c r="D178" t="s">
        <v>32</v>
      </c>
      <c r="E178" t="s">
        <v>33</v>
      </c>
      <c r="F178" t="s">
        <v>365</v>
      </c>
      <c r="G178">
        <v>5</v>
      </c>
      <c r="H178" t="s">
        <v>86</v>
      </c>
      <c r="I178" t="s">
        <v>146</v>
      </c>
      <c r="J178" t="s">
        <v>603</v>
      </c>
      <c r="K178" t="s">
        <v>172</v>
      </c>
      <c r="L178" t="s">
        <v>16</v>
      </c>
      <c r="M178" t="s">
        <v>17</v>
      </c>
      <c r="O178">
        <v>4</v>
      </c>
      <c r="P178" t="s">
        <v>18</v>
      </c>
      <c r="Q178">
        <f>ABS(Table1[[#This Row],[Rate]]-Table1[[#This Row],[AI RATE]])</f>
        <v>1</v>
      </c>
      <c r="R178">
        <f>IF(Table1[[#This Row],[NEW RATING2]]&gt;0, Table1[[#This Row],[NEW RATING2]],Table1[[#This Row],[Rate]])</f>
        <v>5</v>
      </c>
      <c r="S178">
        <f>IF(Table1[[#This Row],[Rate]] =Table1[[#This Row],[AI RATE]],1, 0)</f>
        <v>0</v>
      </c>
    </row>
    <row r="179" spans="1:19" x14ac:dyDescent="0.35">
      <c r="A179">
        <v>2019</v>
      </c>
      <c r="B179">
        <v>20</v>
      </c>
      <c r="C179">
        <v>20</v>
      </c>
      <c r="D179" t="s">
        <v>104</v>
      </c>
      <c r="E179" t="s">
        <v>105</v>
      </c>
      <c r="F179" t="s">
        <v>366</v>
      </c>
      <c r="G179">
        <v>3</v>
      </c>
      <c r="H179" t="s">
        <v>92</v>
      </c>
      <c r="I179" t="s">
        <v>109</v>
      </c>
      <c r="J179" t="s">
        <v>151</v>
      </c>
      <c r="K179" t="s">
        <v>152</v>
      </c>
      <c r="L179" t="s">
        <v>153</v>
      </c>
      <c r="M179" t="s">
        <v>154</v>
      </c>
      <c r="N179" t="s">
        <v>349</v>
      </c>
      <c r="O179">
        <v>2</v>
      </c>
      <c r="P179" t="s">
        <v>18</v>
      </c>
      <c r="Q179">
        <f>ABS(Table1[[#This Row],[Rate]]-Table1[[#This Row],[AI RATE]])</f>
        <v>1</v>
      </c>
      <c r="R179">
        <f>IF(Table1[[#This Row],[NEW RATING2]]&gt;0, Table1[[#This Row],[NEW RATING2]],Table1[[#This Row],[Rate]])</f>
        <v>3</v>
      </c>
      <c r="S179">
        <f>IF(Table1[[#This Row],[Rate]] =Table1[[#This Row],[AI RATE]],1, 0)</f>
        <v>0</v>
      </c>
    </row>
    <row r="180" spans="1:19" x14ac:dyDescent="0.35">
      <c r="A180">
        <v>2019</v>
      </c>
      <c r="B180">
        <v>21</v>
      </c>
      <c r="C180">
        <v>21</v>
      </c>
      <c r="D180" t="s">
        <v>78</v>
      </c>
      <c r="E180" t="s">
        <v>79</v>
      </c>
      <c r="F180" t="s">
        <v>367</v>
      </c>
      <c r="G180">
        <v>3</v>
      </c>
      <c r="H180" t="s">
        <v>130</v>
      </c>
      <c r="I180" t="s">
        <v>52</v>
      </c>
      <c r="J180" t="s">
        <v>603</v>
      </c>
      <c r="K180" t="s">
        <v>172</v>
      </c>
      <c r="L180" t="s">
        <v>16</v>
      </c>
      <c r="M180" t="s">
        <v>17</v>
      </c>
      <c r="O180">
        <v>2</v>
      </c>
      <c r="P180" t="s">
        <v>18</v>
      </c>
      <c r="Q180">
        <f>ABS(Table1[[#This Row],[Rate]]-Table1[[#This Row],[AI RATE]])</f>
        <v>1</v>
      </c>
      <c r="R180">
        <f>IF(Table1[[#This Row],[NEW RATING2]]&gt;0, Table1[[#This Row],[NEW RATING2]],Table1[[#This Row],[Rate]])</f>
        <v>3</v>
      </c>
      <c r="S180">
        <f>IF(Table1[[#This Row],[Rate]] =Table1[[#This Row],[AI RATE]],1, 0)</f>
        <v>0</v>
      </c>
    </row>
    <row r="181" spans="1:19" x14ac:dyDescent="0.35">
      <c r="A181">
        <v>2019</v>
      </c>
      <c r="B181">
        <v>22</v>
      </c>
      <c r="C181">
        <v>22</v>
      </c>
      <c r="D181" t="s">
        <v>93</v>
      </c>
      <c r="E181" t="s">
        <v>94</v>
      </c>
      <c r="F181" t="s">
        <v>368</v>
      </c>
      <c r="G181">
        <v>1</v>
      </c>
      <c r="H181" t="s">
        <v>55</v>
      </c>
      <c r="I181" t="s">
        <v>190</v>
      </c>
      <c r="J181" t="s">
        <v>151</v>
      </c>
      <c r="K181" t="s">
        <v>152</v>
      </c>
      <c r="L181" t="s">
        <v>153</v>
      </c>
      <c r="M181" t="s">
        <v>154</v>
      </c>
      <c r="N181" t="s">
        <v>349</v>
      </c>
      <c r="O181">
        <v>1</v>
      </c>
      <c r="P181" t="s">
        <v>18</v>
      </c>
      <c r="Q181">
        <f>ABS(Table1[[#This Row],[Rate]]-Table1[[#This Row],[AI RATE]])</f>
        <v>0</v>
      </c>
      <c r="R181">
        <f>IF(Table1[[#This Row],[NEW RATING2]]&gt;0, Table1[[#This Row],[NEW RATING2]],Table1[[#This Row],[Rate]])</f>
        <v>1</v>
      </c>
      <c r="S181">
        <f>IF(Table1[[#This Row],[Rate]] =Table1[[#This Row],[AI RATE]],1, 0)</f>
        <v>1</v>
      </c>
    </row>
    <row r="182" spans="1:19" x14ac:dyDescent="0.35">
      <c r="A182">
        <v>2019</v>
      </c>
      <c r="B182">
        <v>23</v>
      </c>
      <c r="C182">
        <v>23</v>
      </c>
      <c r="D182" t="s">
        <v>62</v>
      </c>
      <c r="E182" t="s">
        <v>63</v>
      </c>
      <c r="F182" t="s">
        <v>369</v>
      </c>
      <c r="G182">
        <v>3</v>
      </c>
      <c r="H182" t="s">
        <v>55</v>
      </c>
      <c r="I182" t="s">
        <v>370</v>
      </c>
      <c r="J182" t="s">
        <v>603</v>
      </c>
      <c r="K182" t="s">
        <v>172</v>
      </c>
      <c r="L182" t="s">
        <v>16</v>
      </c>
      <c r="M182" t="s">
        <v>17</v>
      </c>
      <c r="O182">
        <v>3</v>
      </c>
      <c r="P182" t="s">
        <v>18</v>
      </c>
      <c r="Q182">
        <f>ABS(Table1[[#This Row],[Rate]]-Table1[[#This Row],[AI RATE]])</f>
        <v>0</v>
      </c>
      <c r="R182">
        <f>IF(Table1[[#This Row],[NEW RATING2]]&gt;0, Table1[[#This Row],[NEW RATING2]],Table1[[#This Row],[Rate]])</f>
        <v>3</v>
      </c>
      <c r="S182">
        <f>IF(Table1[[#This Row],[Rate]] =Table1[[#This Row],[AI RATE]],1, 0)</f>
        <v>1</v>
      </c>
    </row>
    <row r="183" spans="1:19" x14ac:dyDescent="0.35">
      <c r="A183">
        <v>2019</v>
      </c>
      <c r="B183">
        <v>24</v>
      </c>
      <c r="C183">
        <v>24</v>
      </c>
      <c r="D183" t="s">
        <v>76</v>
      </c>
      <c r="E183" t="s">
        <v>77</v>
      </c>
      <c r="F183" t="s">
        <v>371</v>
      </c>
      <c r="G183">
        <v>4</v>
      </c>
      <c r="H183" t="s">
        <v>21</v>
      </c>
      <c r="I183" t="s">
        <v>133</v>
      </c>
      <c r="J183" t="s">
        <v>151</v>
      </c>
      <c r="K183" t="s">
        <v>152</v>
      </c>
      <c r="L183" t="s">
        <v>153</v>
      </c>
      <c r="M183" t="s">
        <v>154</v>
      </c>
      <c r="N183" t="s">
        <v>349</v>
      </c>
      <c r="O183">
        <v>4</v>
      </c>
      <c r="P183" t="s">
        <v>18</v>
      </c>
      <c r="Q183">
        <f>ABS(Table1[[#This Row],[Rate]]-Table1[[#This Row],[AI RATE]])</f>
        <v>0</v>
      </c>
      <c r="R183">
        <f>IF(Table1[[#This Row],[NEW RATING2]]&gt;0, Table1[[#This Row],[NEW RATING2]],Table1[[#This Row],[Rate]])</f>
        <v>4</v>
      </c>
      <c r="S183">
        <f>IF(Table1[[#This Row],[Rate]] =Table1[[#This Row],[AI RATE]],1, 0)</f>
        <v>1</v>
      </c>
    </row>
    <row r="184" spans="1:19" x14ac:dyDescent="0.35">
      <c r="A184">
        <v>2019</v>
      </c>
      <c r="B184">
        <v>25</v>
      </c>
      <c r="C184">
        <v>25</v>
      </c>
      <c r="D184" t="s">
        <v>74</v>
      </c>
      <c r="E184" t="s">
        <v>75</v>
      </c>
      <c r="F184" t="s">
        <v>372</v>
      </c>
      <c r="G184">
        <v>3</v>
      </c>
      <c r="H184" t="s">
        <v>25</v>
      </c>
      <c r="I184" t="s">
        <v>56</v>
      </c>
      <c r="J184" t="s">
        <v>151</v>
      </c>
      <c r="K184" t="s">
        <v>152</v>
      </c>
      <c r="L184" t="s">
        <v>153</v>
      </c>
      <c r="M184" t="s">
        <v>154</v>
      </c>
      <c r="N184" t="s">
        <v>349</v>
      </c>
      <c r="O184">
        <v>3</v>
      </c>
      <c r="P184" t="s">
        <v>18</v>
      </c>
      <c r="Q184">
        <f>ABS(Table1[[#This Row],[Rate]]-Table1[[#This Row],[AI RATE]])</f>
        <v>0</v>
      </c>
      <c r="R184">
        <f>IF(Table1[[#This Row],[NEW RATING2]]&gt;0, Table1[[#This Row],[NEW RATING2]],Table1[[#This Row],[Rate]])</f>
        <v>3</v>
      </c>
      <c r="S184">
        <f>IF(Table1[[#This Row],[Rate]] =Table1[[#This Row],[AI RATE]],1, 0)</f>
        <v>1</v>
      </c>
    </row>
    <row r="185" spans="1:19" x14ac:dyDescent="0.35">
      <c r="A185">
        <v>2019</v>
      </c>
      <c r="B185">
        <v>26</v>
      </c>
      <c r="C185">
        <v>26</v>
      </c>
      <c r="D185" t="s">
        <v>143</v>
      </c>
      <c r="E185" t="s">
        <v>41</v>
      </c>
      <c r="F185" t="s">
        <v>373</v>
      </c>
      <c r="G185">
        <v>4</v>
      </c>
      <c r="H185" t="s">
        <v>48</v>
      </c>
      <c r="I185" t="s">
        <v>146</v>
      </c>
      <c r="J185" t="s">
        <v>151</v>
      </c>
      <c r="K185" t="s">
        <v>152</v>
      </c>
      <c r="L185" t="s">
        <v>153</v>
      </c>
      <c r="M185" t="s">
        <v>154</v>
      </c>
      <c r="N185" t="s">
        <v>349</v>
      </c>
      <c r="O185">
        <v>3</v>
      </c>
      <c r="P185" t="s">
        <v>18</v>
      </c>
      <c r="Q185">
        <f>ABS(Table1[[#This Row],[Rate]]-Table1[[#This Row],[AI RATE]])</f>
        <v>1</v>
      </c>
      <c r="R185">
        <f>IF(Table1[[#This Row],[NEW RATING2]]&gt;0, Table1[[#This Row],[NEW RATING2]],Table1[[#This Row],[Rate]])</f>
        <v>4</v>
      </c>
      <c r="S185">
        <f>IF(Table1[[#This Row],[Rate]] =Table1[[#This Row],[AI RATE]],1, 0)</f>
        <v>0</v>
      </c>
    </row>
    <row r="186" spans="1:19" x14ac:dyDescent="0.35">
      <c r="A186">
        <v>2019</v>
      </c>
      <c r="B186">
        <v>27</v>
      </c>
      <c r="C186">
        <v>27</v>
      </c>
      <c r="D186" t="s">
        <v>76</v>
      </c>
      <c r="E186" t="s">
        <v>77</v>
      </c>
      <c r="F186" t="s">
        <v>374</v>
      </c>
      <c r="G186">
        <v>2</v>
      </c>
      <c r="H186" t="s">
        <v>130</v>
      </c>
      <c r="I186" t="s">
        <v>146</v>
      </c>
      <c r="J186" t="s">
        <v>603</v>
      </c>
      <c r="K186" t="s">
        <v>172</v>
      </c>
      <c r="L186" t="s">
        <v>16</v>
      </c>
      <c r="M186" t="s">
        <v>17</v>
      </c>
      <c r="O186">
        <v>1</v>
      </c>
      <c r="P186" t="s">
        <v>18</v>
      </c>
      <c r="Q186">
        <f>ABS(Table1[[#This Row],[Rate]]-Table1[[#This Row],[AI RATE]])</f>
        <v>1</v>
      </c>
      <c r="R186">
        <f>IF(Table1[[#This Row],[NEW RATING2]]&gt;0, Table1[[#This Row],[NEW RATING2]],Table1[[#This Row],[Rate]])</f>
        <v>2</v>
      </c>
      <c r="S186">
        <f>IF(Table1[[#This Row],[Rate]] =Table1[[#This Row],[AI RATE]],1, 0)</f>
        <v>0</v>
      </c>
    </row>
    <row r="187" spans="1:19" x14ac:dyDescent="0.35">
      <c r="A187">
        <v>2019</v>
      </c>
      <c r="B187">
        <v>28</v>
      </c>
      <c r="C187">
        <v>28</v>
      </c>
      <c r="D187" t="s">
        <v>283</v>
      </c>
      <c r="E187" t="s">
        <v>284</v>
      </c>
      <c r="F187" t="s">
        <v>375</v>
      </c>
      <c r="G187">
        <v>2</v>
      </c>
      <c r="H187" t="s">
        <v>86</v>
      </c>
      <c r="I187" t="s">
        <v>121</v>
      </c>
      <c r="J187" t="s">
        <v>603</v>
      </c>
      <c r="K187" t="s">
        <v>172</v>
      </c>
      <c r="L187" t="s">
        <v>16</v>
      </c>
      <c r="M187" t="s">
        <v>17</v>
      </c>
      <c r="O187">
        <v>2</v>
      </c>
      <c r="P187" t="s">
        <v>18</v>
      </c>
      <c r="Q187">
        <f>ABS(Table1[[#This Row],[Rate]]-Table1[[#This Row],[AI RATE]])</f>
        <v>0</v>
      </c>
      <c r="R187">
        <f>IF(Table1[[#This Row],[NEW RATING2]]&gt;0, Table1[[#This Row],[NEW RATING2]],Table1[[#This Row],[Rate]])</f>
        <v>2</v>
      </c>
      <c r="S187">
        <f>IF(Table1[[#This Row],[Rate]] =Table1[[#This Row],[AI RATE]],1, 0)</f>
        <v>1</v>
      </c>
    </row>
    <row r="188" spans="1:19" x14ac:dyDescent="0.35">
      <c r="A188">
        <v>2019</v>
      </c>
      <c r="B188">
        <v>29</v>
      </c>
      <c r="C188">
        <v>29</v>
      </c>
      <c r="D188" t="s">
        <v>81</v>
      </c>
      <c r="E188" t="s">
        <v>82</v>
      </c>
      <c r="F188" t="s">
        <v>376</v>
      </c>
      <c r="G188">
        <v>2</v>
      </c>
      <c r="H188" t="s">
        <v>48</v>
      </c>
      <c r="I188" t="s">
        <v>141</v>
      </c>
      <c r="J188" t="s">
        <v>603</v>
      </c>
      <c r="K188" t="s">
        <v>172</v>
      </c>
      <c r="L188" t="s">
        <v>16</v>
      </c>
      <c r="M188" t="s">
        <v>17</v>
      </c>
      <c r="O188">
        <v>1</v>
      </c>
      <c r="P188" t="s">
        <v>18</v>
      </c>
      <c r="Q188">
        <f>ABS(Table1[[#This Row],[Rate]]-Table1[[#This Row],[AI RATE]])</f>
        <v>1</v>
      </c>
      <c r="R188">
        <f>IF(Table1[[#This Row],[NEW RATING2]]&gt;0, Table1[[#This Row],[NEW RATING2]],Table1[[#This Row],[Rate]])</f>
        <v>2</v>
      </c>
      <c r="S188">
        <f>IF(Table1[[#This Row],[Rate]] =Table1[[#This Row],[AI RATE]],1, 0)</f>
        <v>0</v>
      </c>
    </row>
    <row r="189" spans="1:19" x14ac:dyDescent="0.35">
      <c r="A189">
        <v>2019</v>
      </c>
      <c r="B189">
        <v>30</v>
      </c>
      <c r="C189">
        <v>30</v>
      </c>
      <c r="D189" t="s">
        <v>115</v>
      </c>
      <c r="E189" t="s">
        <v>116</v>
      </c>
      <c r="F189" t="s">
        <v>377</v>
      </c>
      <c r="G189">
        <v>1</v>
      </c>
      <c r="H189" t="s">
        <v>124</v>
      </c>
      <c r="I189" t="s">
        <v>59</v>
      </c>
      <c r="J189" t="s">
        <v>603</v>
      </c>
      <c r="K189" t="s">
        <v>172</v>
      </c>
      <c r="L189" t="s">
        <v>16</v>
      </c>
      <c r="M189" t="s">
        <v>17</v>
      </c>
      <c r="O189">
        <v>1</v>
      </c>
      <c r="P189" t="s">
        <v>18</v>
      </c>
      <c r="Q189">
        <f>ABS(Table1[[#This Row],[Rate]]-Table1[[#This Row],[AI RATE]])</f>
        <v>0</v>
      </c>
      <c r="R189">
        <f>IF(Table1[[#This Row],[NEW RATING2]]&gt;0, Table1[[#This Row],[NEW RATING2]],Table1[[#This Row],[Rate]])</f>
        <v>1</v>
      </c>
      <c r="S189">
        <f>IF(Table1[[#This Row],[Rate]] =Table1[[#This Row],[AI RATE]],1, 0)</f>
        <v>1</v>
      </c>
    </row>
    <row r="190" spans="1:19" x14ac:dyDescent="0.35">
      <c r="A190">
        <v>2019</v>
      </c>
      <c r="B190">
        <v>31</v>
      </c>
      <c r="C190">
        <v>31</v>
      </c>
      <c r="D190" t="s">
        <v>84</v>
      </c>
      <c r="E190" t="s">
        <v>85</v>
      </c>
      <c r="F190" t="s">
        <v>378</v>
      </c>
      <c r="G190">
        <v>3</v>
      </c>
      <c r="H190" t="s">
        <v>55</v>
      </c>
      <c r="I190" t="s">
        <v>143</v>
      </c>
      <c r="J190" t="s">
        <v>603</v>
      </c>
      <c r="K190" t="s">
        <v>172</v>
      </c>
      <c r="L190" t="s">
        <v>16</v>
      </c>
      <c r="M190" t="s">
        <v>17</v>
      </c>
      <c r="O190">
        <v>3</v>
      </c>
      <c r="P190" t="s">
        <v>18</v>
      </c>
      <c r="Q190">
        <f>ABS(Table1[[#This Row],[Rate]]-Table1[[#This Row],[AI RATE]])</f>
        <v>0</v>
      </c>
      <c r="R190">
        <f>IF(Table1[[#This Row],[NEW RATING2]]&gt;0, Table1[[#This Row],[NEW RATING2]],Table1[[#This Row],[Rate]])</f>
        <v>3</v>
      </c>
      <c r="S190">
        <f>IF(Table1[[#This Row],[Rate]] =Table1[[#This Row],[AI RATE]],1, 0)</f>
        <v>1</v>
      </c>
    </row>
    <row r="191" spans="1:19" x14ac:dyDescent="0.35">
      <c r="A191">
        <v>2019</v>
      </c>
      <c r="B191">
        <v>32</v>
      </c>
      <c r="C191">
        <v>32</v>
      </c>
      <c r="D191" t="s">
        <v>95</v>
      </c>
      <c r="E191" t="s">
        <v>96</v>
      </c>
      <c r="F191" t="s">
        <v>379</v>
      </c>
      <c r="G191">
        <v>1</v>
      </c>
      <c r="H191" t="s">
        <v>25</v>
      </c>
      <c r="I191" t="s">
        <v>234</v>
      </c>
      <c r="J191" t="s">
        <v>603</v>
      </c>
      <c r="K191" t="s">
        <v>172</v>
      </c>
      <c r="L191" t="s">
        <v>16</v>
      </c>
      <c r="M191" t="s">
        <v>17</v>
      </c>
      <c r="O191">
        <v>1</v>
      </c>
      <c r="P191" t="s">
        <v>18</v>
      </c>
      <c r="Q191">
        <f>ABS(Table1[[#This Row],[Rate]]-Table1[[#This Row],[AI RATE]])</f>
        <v>0</v>
      </c>
      <c r="R191">
        <f>IF(Table1[[#This Row],[NEW RATING2]]&gt;0, Table1[[#This Row],[NEW RATING2]],Table1[[#This Row],[Rate]])</f>
        <v>1</v>
      </c>
      <c r="S191">
        <f>IF(Table1[[#This Row],[Rate]] =Table1[[#This Row],[AI RATE]],1, 0)</f>
        <v>1</v>
      </c>
    </row>
    <row r="192" spans="1:19" x14ac:dyDescent="0.35">
      <c r="A192">
        <v>2020</v>
      </c>
      <c r="B192">
        <v>1</v>
      </c>
      <c r="C192">
        <v>1</v>
      </c>
      <c r="D192" t="s">
        <v>65</v>
      </c>
      <c r="E192" t="s">
        <v>66</v>
      </c>
      <c r="F192" t="s">
        <v>380</v>
      </c>
      <c r="G192">
        <v>5</v>
      </c>
      <c r="H192" t="s">
        <v>14</v>
      </c>
      <c r="I192" t="s">
        <v>70</v>
      </c>
      <c r="J192" t="s">
        <v>197</v>
      </c>
      <c r="K192" t="s">
        <v>381</v>
      </c>
      <c r="L192" t="s">
        <v>382</v>
      </c>
      <c r="M192" t="s">
        <v>154</v>
      </c>
      <c r="N192" t="s">
        <v>383</v>
      </c>
      <c r="O192">
        <v>5</v>
      </c>
      <c r="P192" t="s">
        <v>18</v>
      </c>
      <c r="Q192">
        <f>ABS(Table1[[#This Row],[Rate]]-Table1[[#This Row],[AI RATE]])</f>
        <v>0</v>
      </c>
      <c r="R192">
        <f>IF(Table1[[#This Row],[NEW RATING2]]&gt;0, Table1[[#This Row],[NEW RATING2]],Table1[[#This Row],[Rate]])</f>
        <v>5</v>
      </c>
      <c r="S192">
        <f>IF(Table1[[#This Row],[Rate]] =Table1[[#This Row],[AI RATE]],1, 0)</f>
        <v>1</v>
      </c>
    </row>
    <row r="193" spans="1:20" x14ac:dyDescent="0.35">
      <c r="A193">
        <v>2020</v>
      </c>
      <c r="B193">
        <v>2</v>
      </c>
      <c r="C193">
        <v>2</v>
      </c>
      <c r="D193" t="s">
        <v>143</v>
      </c>
      <c r="E193" t="s">
        <v>41</v>
      </c>
      <c r="F193" t="s">
        <v>384</v>
      </c>
      <c r="G193">
        <v>3</v>
      </c>
      <c r="H193" t="s">
        <v>48</v>
      </c>
      <c r="I193" t="s">
        <v>101</v>
      </c>
      <c r="J193" t="s">
        <v>197</v>
      </c>
      <c r="K193" t="s">
        <v>381</v>
      </c>
      <c r="L193" t="s">
        <v>382</v>
      </c>
      <c r="M193" t="s">
        <v>154</v>
      </c>
      <c r="N193" t="s">
        <v>383</v>
      </c>
      <c r="O193">
        <v>2</v>
      </c>
      <c r="P193" t="s">
        <v>18</v>
      </c>
      <c r="Q193">
        <f>ABS(Table1[[#This Row],[Rate]]-Table1[[#This Row],[AI RATE]])</f>
        <v>1</v>
      </c>
      <c r="R193">
        <f>IF(Table1[[#This Row],[NEW RATING2]]&gt;0, Table1[[#This Row],[NEW RATING2]],Table1[[#This Row],[Rate]])</f>
        <v>3</v>
      </c>
      <c r="S193">
        <f>IF(Table1[[#This Row],[Rate]] =Table1[[#This Row],[AI RATE]],1, 0)</f>
        <v>0</v>
      </c>
    </row>
    <row r="194" spans="1:20" x14ac:dyDescent="0.35">
      <c r="A194">
        <v>2020</v>
      </c>
      <c r="B194">
        <v>3</v>
      </c>
      <c r="C194">
        <v>3</v>
      </c>
      <c r="D194" t="s">
        <v>42</v>
      </c>
      <c r="E194" t="s">
        <v>43</v>
      </c>
      <c r="F194" t="s">
        <v>385</v>
      </c>
      <c r="G194">
        <v>1</v>
      </c>
      <c r="H194" t="s">
        <v>124</v>
      </c>
      <c r="I194" t="s">
        <v>101</v>
      </c>
      <c r="J194" t="s">
        <v>197</v>
      </c>
      <c r="K194" t="s">
        <v>381</v>
      </c>
      <c r="L194" t="s">
        <v>382</v>
      </c>
      <c r="M194" t="s">
        <v>154</v>
      </c>
      <c r="N194" t="s">
        <v>383</v>
      </c>
      <c r="O194">
        <v>1</v>
      </c>
      <c r="P194" t="s">
        <v>18</v>
      </c>
      <c r="Q194">
        <f>ABS(Table1[[#This Row],[Rate]]-Table1[[#This Row],[AI RATE]])</f>
        <v>0</v>
      </c>
      <c r="R194">
        <f>IF(Table1[[#This Row],[NEW RATING2]]&gt;0, Table1[[#This Row],[NEW RATING2]],Table1[[#This Row],[Rate]])</f>
        <v>1</v>
      </c>
      <c r="S194">
        <f>IF(Table1[[#This Row],[Rate]] =Table1[[#This Row],[AI RATE]],1, 0)</f>
        <v>1</v>
      </c>
    </row>
    <row r="195" spans="1:20" x14ac:dyDescent="0.35">
      <c r="A195">
        <v>2020</v>
      </c>
      <c r="B195">
        <v>4</v>
      </c>
      <c r="C195">
        <v>4</v>
      </c>
      <c r="D195" t="s">
        <v>115</v>
      </c>
      <c r="E195" t="s">
        <v>116</v>
      </c>
      <c r="F195" t="s">
        <v>386</v>
      </c>
      <c r="G195">
        <v>4</v>
      </c>
      <c r="H195" t="s">
        <v>55</v>
      </c>
      <c r="I195" t="s">
        <v>59</v>
      </c>
      <c r="J195" t="s">
        <v>197</v>
      </c>
      <c r="K195" t="s">
        <v>381</v>
      </c>
      <c r="L195" t="s">
        <v>382</v>
      </c>
      <c r="M195" t="s">
        <v>154</v>
      </c>
      <c r="N195" t="s">
        <v>383</v>
      </c>
      <c r="O195">
        <v>4</v>
      </c>
      <c r="P195" t="s">
        <v>18</v>
      </c>
      <c r="Q195">
        <f>ABS(Table1[[#This Row],[Rate]]-Table1[[#This Row],[AI RATE]])</f>
        <v>0</v>
      </c>
      <c r="R195">
        <f>IF(Table1[[#This Row],[NEW RATING2]]&gt;0, Table1[[#This Row],[NEW RATING2]],Table1[[#This Row],[Rate]])</f>
        <v>4</v>
      </c>
      <c r="S195">
        <f>IF(Table1[[#This Row],[Rate]] =Table1[[#This Row],[AI RATE]],1, 0)</f>
        <v>1</v>
      </c>
    </row>
    <row r="196" spans="1:20" x14ac:dyDescent="0.35">
      <c r="A196">
        <v>2020</v>
      </c>
      <c r="B196">
        <v>5</v>
      </c>
      <c r="C196">
        <v>5</v>
      </c>
      <c r="D196" t="s">
        <v>19</v>
      </c>
      <c r="E196" t="s">
        <v>20</v>
      </c>
      <c r="F196" t="s">
        <v>387</v>
      </c>
      <c r="G196">
        <v>3</v>
      </c>
      <c r="H196" t="s">
        <v>14</v>
      </c>
      <c r="I196" t="s">
        <v>133</v>
      </c>
      <c r="J196" t="s">
        <v>197</v>
      </c>
      <c r="K196" t="s">
        <v>381</v>
      </c>
      <c r="L196" t="s">
        <v>382</v>
      </c>
      <c r="M196" t="s">
        <v>154</v>
      </c>
      <c r="N196" t="s">
        <v>383</v>
      </c>
      <c r="O196">
        <v>4</v>
      </c>
      <c r="P196" t="s">
        <v>18</v>
      </c>
      <c r="Q196">
        <f>ABS(Table1[[#This Row],[Rate]]-Table1[[#This Row],[AI RATE]])</f>
        <v>1</v>
      </c>
      <c r="R196">
        <f>IF(Table1[[#This Row],[NEW RATING2]]&gt;0, Table1[[#This Row],[NEW RATING2]],Table1[[#This Row],[Rate]])</f>
        <v>3</v>
      </c>
      <c r="S196">
        <f>IF(Table1[[#This Row],[Rate]] =Table1[[#This Row],[AI RATE]],1, 0)</f>
        <v>0</v>
      </c>
    </row>
    <row r="197" spans="1:20" x14ac:dyDescent="0.35">
      <c r="A197">
        <v>2020</v>
      </c>
      <c r="B197">
        <v>6</v>
      </c>
      <c r="C197">
        <v>6</v>
      </c>
      <c r="D197" t="s">
        <v>283</v>
      </c>
      <c r="E197" t="s">
        <v>284</v>
      </c>
      <c r="F197" t="s">
        <v>388</v>
      </c>
      <c r="G197">
        <v>4</v>
      </c>
      <c r="H197" t="s">
        <v>14</v>
      </c>
      <c r="I197" t="s">
        <v>106</v>
      </c>
      <c r="J197" t="s">
        <v>197</v>
      </c>
      <c r="K197" t="s">
        <v>381</v>
      </c>
      <c r="L197" t="s">
        <v>382</v>
      </c>
      <c r="M197" t="s">
        <v>154</v>
      </c>
      <c r="N197" t="s">
        <v>383</v>
      </c>
      <c r="O197">
        <v>5</v>
      </c>
      <c r="P197" t="s">
        <v>18</v>
      </c>
      <c r="Q197">
        <f>ABS(Table1[[#This Row],[Rate]]-Table1[[#This Row],[AI RATE]])</f>
        <v>1</v>
      </c>
      <c r="R197">
        <f>IF(Table1[[#This Row],[NEW RATING2]]&gt;0, Table1[[#This Row],[NEW RATING2]],Table1[[#This Row],[Rate]])</f>
        <v>4</v>
      </c>
      <c r="S197">
        <f>IF(Table1[[#This Row],[Rate]] =Table1[[#This Row],[AI RATE]],1, 0)</f>
        <v>0</v>
      </c>
    </row>
    <row r="198" spans="1:20" x14ac:dyDescent="0.35">
      <c r="A198">
        <v>2020</v>
      </c>
      <c r="B198">
        <v>7</v>
      </c>
      <c r="C198">
        <v>7</v>
      </c>
      <c r="D198" t="s">
        <v>57</v>
      </c>
      <c r="E198" t="s">
        <v>58</v>
      </c>
      <c r="F198" t="s">
        <v>389</v>
      </c>
      <c r="G198">
        <v>4</v>
      </c>
      <c r="H198" t="s">
        <v>86</v>
      </c>
      <c r="I198" t="s">
        <v>22</v>
      </c>
      <c r="J198" t="s">
        <v>197</v>
      </c>
      <c r="K198" t="s">
        <v>381</v>
      </c>
      <c r="L198" t="s">
        <v>382</v>
      </c>
      <c r="M198" t="s">
        <v>154</v>
      </c>
      <c r="N198" t="s">
        <v>383</v>
      </c>
      <c r="O198">
        <v>4</v>
      </c>
      <c r="P198" t="s">
        <v>18</v>
      </c>
      <c r="Q198">
        <f>ABS(Table1[[#This Row],[Rate]]-Table1[[#This Row],[AI RATE]])</f>
        <v>0</v>
      </c>
      <c r="R198">
        <f>IF(Table1[[#This Row],[NEW RATING2]]&gt;0, Table1[[#This Row],[NEW RATING2]],Table1[[#This Row],[Rate]])</f>
        <v>4</v>
      </c>
      <c r="S198">
        <f>IF(Table1[[#This Row],[Rate]] =Table1[[#This Row],[AI RATE]],1, 0)</f>
        <v>1</v>
      </c>
    </row>
    <row r="199" spans="1:20" x14ac:dyDescent="0.35">
      <c r="A199">
        <v>2020</v>
      </c>
      <c r="B199">
        <v>8</v>
      </c>
      <c r="C199">
        <v>8</v>
      </c>
      <c r="D199" t="s">
        <v>38</v>
      </c>
      <c r="E199" t="s">
        <v>39</v>
      </c>
      <c r="F199" t="s">
        <v>390</v>
      </c>
      <c r="G199">
        <v>2</v>
      </c>
      <c r="H199" t="s">
        <v>123</v>
      </c>
      <c r="I199" t="s">
        <v>107</v>
      </c>
      <c r="J199" t="s">
        <v>197</v>
      </c>
      <c r="K199" t="s">
        <v>381</v>
      </c>
      <c r="L199" t="s">
        <v>382</v>
      </c>
      <c r="M199" t="s">
        <v>154</v>
      </c>
      <c r="N199" t="s">
        <v>383</v>
      </c>
      <c r="O199">
        <v>2</v>
      </c>
      <c r="P199" t="s">
        <v>18</v>
      </c>
      <c r="Q199">
        <f>ABS(Table1[[#This Row],[Rate]]-Table1[[#This Row],[AI RATE]])</f>
        <v>0</v>
      </c>
      <c r="R199">
        <f>IF(Table1[[#This Row],[NEW RATING2]]&gt;0, Table1[[#This Row],[NEW RATING2]],Table1[[#This Row],[Rate]])</f>
        <v>2</v>
      </c>
      <c r="S199">
        <f>IF(Table1[[#This Row],[Rate]] =Table1[[#This Row],[AI RATE]],1, 0)</f>
        <v>1</v>
      </c>
    </row>
    <row r="200" spans="1:20" x14ac:dyDescent="0.35">
      <c r="A200">
        <v>2020</v>
      </c>
      <c r="B200">
        <v>9</v>
      </c>
      <c r="C200">
        <v>9</v>
      </c>
      <c r="D200" t="s">
        <v>71</v>
      </c>
      <c r="E200" t="s">
        <v>72</v>
      </c>
      <c r="F200" t="s">
        <v>391</v>
      </c>
      <c r="G200">
        <v>2</v>
      </c>
      <c r="H200" t="s">
        <v>124</v>
      </c>
      <c r="I200" t="s">
        <v>120</v>
      </c>
      <c r="J200" t="s">
        <v>197</v>
      </c>
      <c r="K200" t="s">
        <v>381</v>
      </c>
      <c r="L200" t="s">
        <v>382</v>
      </c>
      <c r="M200" t="s">
        <v>154</v>
      </c>
      <c r="N200" t="s">
        <v>383</v>
      </c>
      <c r="O200">
        <v>1</v>
      </c>
      <c r="P200" t="s">
        <v>18</v>
      </c>
      <c r="Q200">
        <f>ABS(Table1[[#This Row],[Rate]]-Table1[[#This Row],[AI RATE]])</f>
        <v>1</v>
      </c>
      <c r="R200">
        <f>IF(Table1[[#This Row],[NEW RATING2]]&gt;0, Table1[[#This Row],[NEW RATING2]],Table1[[#This Row],[Rate]])</f>
        <v>2</v>
      </c>
      <c r="S200">
        <f>IF(Table1[[#This Row],[Rate]] =Table1[[#This Row],[AI RATE]],1, 0)</f>
        <v>0</v>
      </c>
    </row>
    <row r="201" spans="1:20" x14ac:dyDescent="0.35">
      <c r="A201">
        <v>2020</v>
      </c>
      <c r="B201">
        <v>10</v>
      </c>
      <c r="C201">
        <v>10</v>
      </c>
      <c r="D201" t="s">
        <v>23</v>
      </c>
      <c r="E201" t="s">
        <v>24</v>
      </c>
      <c r="F201" t="s">
        <v>392</v>
      </c>
      <c r="G201">
        <v>2</v>
      </c>
      <c r="H201" t="s">
        <v>55</v>
      </c>
      <c r="I201" t="s">
        <v>133</v>
      </c>
      <c r="J201" t="s">
        <v>197</v>
      </c>
      <c r="K201" t="s">
        <v>381</v>
      </c>
      <c r="L201" t="s">
        <v>382</v>
      </c>
      <c r="M201" t="s">
        <v>154</v>
      </c>
      <c r="N201" t="s">
        <v>383</v>
      </c>
      <c r="O201">
        <v>2</v>
      </c>
      <c r="P201" t="s">
        <v>18</v>
      </c>
      <c r="Q201">
        <f>ABS(Table1[[#This Row],[Rate]]-Table1[[#This Row],[AI RATE]])</f>
        <v>0</v>
      </c>
      <c r="R201">
        <f>IF(Table1[[#This Row],[NEW RATING2]]&gt;0, Table1[[#This Row],[NEW RATING2]],Table1[[#This Row],[Rate]])</f>
        <v>2</v>
      </c>
      <c r="S201">
        <f>IF(Table1[[#This Row],[Rate]] =Table1[[#This Row],[AI RATE]],1, 0)</f>
        <v>1</v>
      </c>
    </row>
    <row r="202" spans="1:20" x14ac:dyDescent="0.35">
      <c r="A202">
        <v>2020</v>
      </c>
      <c r="B202">
        <v>11</v>
      </c>
      <c r="C202">
        <v>11</v>
      </c>
      <c r="D202" t="s">
        <v>99</v>
      </c>
      <c r="E202" t="s">
        <v>100</v>
      </c>
      <c r="F202" t="s">
        <v>393</v>
      </c>
      <c r="G202">
        <v>3</v>
      </c>
      <c r="H202" t="s">
        <v>55</v>
      </c>
      <c r="I202" t="s">
        <v>118</v>
      </c>
      <c r="J202" t="s">
        <v>197</v>
      </c>
      <c r="K202" t="s">
        <v>381</v>
      </c>
      <c r="L202" t="s">
        <v>382</v>
      </c>
      <c r="M202" t="s">
        <v>154</v>
      </c>
      <c r="N202" t="s">
        <v>383</v>
      </c>
      <c r="O202">
        <v>2</v>
      </c>
      <c r="P202" t="s">
        <v>18</v>
      </c>
      <c r="Q202">
        <f>ABS(Table1[[#This Row],[Rate]]-Table1[[#This Row],[AI RATE]])</f>
        <v>1</v>
      </c>
      <c r="R202">
        <f>IF(Table1[[#This Row],[NEW RATING2]]&gt;0, Table1[[#This Row],[NEW RATING2]],Table1[[#This Row],[Rate]])</f>
        <v>3</v>
      </c>
      <c r="S202">
        <f>IF(Table1[[#This Row],[Rate]] =Table1[[#This Row],[AI RATE]],1, 0)</f>
        <v>0</v>
      </c>
    </row>
    <row r="203" spans="1:20" x14ac:dyDescent="0.35">
      <c r="A203">
        <v>2020</v>
      </c>
      <c r="B203">
        <v>12</v>
      </c>
      <c r="C203">
        <v>12</v>
      </c>
      <c r="D203" t="s">
        <v>394</v>
      </c>
      <c r="E203" t="s">
        <v>395</v>
      </c>
      <c r="F203" t="s">
        <v>396</v>
      </c>
      <c r="G203">
        <v>3</v>
      </c>
      <c r="H203" t="s">
        <v>25</v>
      </c>
      <c r="I203" t="s">
        <v>133</v>
      </c>
      <c r="J203" t="s">
        <v>197</v>
      </c>
      <c r="K203" t="s">
        <v>381</v>
      </c>
      <c r="L203" t="s">
        <v>382</v>
      </c>
      <c r="M203" t="s">
        <v>154</v>
      </c>
      <c r="N203" t="s">
        <v>383</v>
      </c>
      <c r="O203">
        <v>1</v>
      </c>
      <c r="P203" t="s">
        <v>18</v>
      </c>
      <c r="Q203">
        <f>ABS(Table1[[#This Row],[Rate]]-Table1[[#This Row],[AI RATE]])</f>
        <v>2</v>
      </c>
      <c r="R203">
        <f>IF(Table1[[#This Row],[NEW RATING2]]&gt;0, Table1[[#This Row],[NEW RATING2]],Table1[[#This Row],[Rate]])</f>
        <v>2</v>
      </c>
      <c r="S203">
        <f>IF(Table1[[#This Row],[Rate]] =Table1[[#This Row],[AI RATE]],1, 0)</f>
        <v>0</v>
      </c>
      <c r="T203">
        <v>2</v>
      </c>
    </row>
    <row r="204" spans="1:20" x14ac:dyDescent="0.35">
      <c r="A204">
        <v>2020</v>
      </c>
      <c r="B204">
        <v>13</v>
      </c>
      <c r="C204">
        <v>13</v>
      </c>
      <c r="D204" t="s">
        <v>30</v>
      </c>
      <c r="E204" t="s">
        <v>31</v>
      </c>
      <c r="F204" t="s">
        <v>397</v>
      </c>
      <c r="G204">
        <v>5</v>
      </c>
      <c r="H204" t="s">
        <v>55</v>
      </c>
      <c r="I204" t="s">
        <v>109</v>
      </c>
      <c r="J204" t="s">
        <v>197</v>
      </c>
      <c r="K204" t="s">
        <v>381</v>
      </c>
      <c r="L204" t="s">
        <v>382</v>
      </c>
      <c r="M204" t="s">
        <v>154</v>
      </c>
      <c r="N204" t="s">
        <v>383</v>
      </c>
      <c r="O204">
        <v>5</v>
      </c>
      <c r="P204" t="s">
        <v>18</v>
      </c>
      <c r="Q204">
        <f>ABS(Table1[[#This Row],[Rate]]-Table1[[#This Row],[AI RATE]])</f>
        <v>0</v>
      </c>
      <c r="R204">
        <f>IF(Table1[[#This Row],[NEW RATING2]]&gt;0, Table1[[#This Row],[NEW RATING2]],Table1[[#This Row],[Rate]])</f>
        <v>5</v>
      </c>
      <c r="S204">
        <f>IF(Table1[[#This Row],[Rate]] =Table1[[#This Row],[AI RATE]],1, 0)</f>
        <v>1</v>
      </c>
    </row>
    <row r="205" spans="1:20" x14ac:dyDescent="0.35">
      <c r="A205">
        <v>2020</v>
      </c>
      <c r="B205">
        <v>14</v>
      </c>
      <c r="C205">
        <v>14</v>
      </c>
      <c r="D205" t="s">
        <v>12</v>
      </c>
      <c r="E205" t="s">
        <v>13</v>
      </c>
      <c r="F205" t="s">
        <v>398</v>
      </c>
      <c r="G205">
        <v>2</v>
      </c>
      <c r="H205" t="s">
        <v>86</v>
      </c>
      <c r="I205" t="s">
        <v>37</v>
      </c>
      <c r="J205" t="s">
        <v>197</v>
      </c>
      <c r="K205" t="s">
        <v>381</v>
      </c>
      <c r="L205" t="s">
        <v>382</v>
      </c>
      <c r="M205" t="s">
        <v>154</v>
      </c>
      <c r="N205" t="s">
        <v>383</v>
      </c>
      <c r="O205">
        <v>2</v>
      </c>
      <c r="P205" t="s">
        <v>18</v>
      </c>
      <c r="Q205">
        <f>ABS(Table1[[#This Row],[Rate]]-Table1[[#This Row],[AI RATE]])</f>
        <v>0</v>
      </c>
      <c r="R205">
        <f>IF(Table1[[#This Row],[NEW RATING2]]&gt;0, Table1[[#This Row],[NEW RATING2]],Table1[[#This Row],[Rate]])</f>
        <v>2</v>
      </c>
      <c r="S205">
        <f>IF(Table1[[#This Row],[Rate]] =Table1[[#This Row],[AI RATE]],1, 0)</f>
        <v>1</v>
      </c>
    </row>
    <row r="206" spans="1:20" x14ac:dyDescent="0.35">
      <c r="A206">
        <v>2020</v>
      </c>
      <c r="B206">
        <v>15</v>
      </c>
      <c r="C206">
        <v>15</v>
      </c>
      <c r="D206" t="s">
        <v>104</v>
      </c>
      <c r="E206" t="s">
        <v>105</v>
      </c>
      <c r="F206" t="s">
        <v>399</v>
      </c>
      <c r="G206">
        <v>3</v>
      </c>
      <c r="H206" t="s">
        <v>25</v>
      </c>
      <c r="I206" t="s">
        <v>133</v>
      </c>
      <c r="J206" t="s">
        <v>197</v>
      </c>
      <c r="K206" t="s">
        <v>381</v>
      </c>
      <c r="L206" t="s">
        <v>382</v>
      </c>
      <c r="M206" t="s">
        <v>154</v>
      </c>
      <c r="N206" t="s">
        <v>383</v>
      </c>
      <c r="O206">
        <v>2</v>
      </c>
      <c r="P206" t="s">
        <v>18</v>
      </c>
      <c r="Q206">
        <f>ABS(Table1[[#This Row],[Rate]]-Table1[[#This Row],[AI RATE]])</f>
        <v>1</v>
      </c>
      <c r="R206">
        <f>IF(Table1[[#This Row],[NEW RATING2]]&gt;0, Table1[[#This Row],[NEW RATING2]],Table1[[#This Row],[Rate]])</f>
        <v>3</v>
      </c>
      <c r="S206">
        <f>IF(Table1[[#This Row],[Rate]] =Table1[[#This Row],[AI RATE]],1, 0)</f>
        <v>0</v>
      </c>
    </row>
    <row r="207" spans="1:20" x14ac:dyDescent="0.35">
      <c r="A207">
        <v>2020</v>
      </c>
      <c r="B207">
        <v>16</v>
      </c>
      <c r="C207">
        <v>16</v>
      </c>
      <c r="D207" t="s">
        <v>84</v>
      </c>
      <c r="E207" t="s">
        <v>85</v>
      </c>
      <c r="F207" t="s">
        <v>400</v>
      </c>
      <c r="G207">
        <v>4</v>
      </c>
      <c r="H207" t="s">
        <v>124</v>
      </c>
      <c r="I207" t="s">
        <v>107</v>
      </c>
      <c r="J207" t="s">
        <v>197</v>
      </c>
      <c r="K207" t="s">
        <v>381</v>
      </c>
      <c r="L207" t="s">
        <v>382</v>
      </c>
      <c r="M207" t="s">
        <v>154</v>
      </c>
      <c r="N207" t="s">
        <v>383</v>
      </c>
      <c r="O207">
        <v>4</v>
      </c>
      <c r="P207" t="s">
        <v>18</v>
      </c>
      <c r="Q207">
        <f>ABS(Table1[[#This Row],[Rate]]-Table1[[#This Row],[AI RATE]])</f>
        <v>0</v>
      </c>
      <c r="R207">
        <f>IF(Table1[[#This Row],[NEW RATING2]]&gt;0, Table1[[#This Row],[NEW RATING2]],Table1[[#This Row],[Rate]])</f>
        <v>4</v>
      </c>
      <c r="S207">
        <f>IF(Table1[[#This Row],[Rate]] =Table1[[#This Row],[AI RATE]],1, 0)</f>
        <v>1</v>
      </c>
    </row>
    <row r="208" spans="1:20" x14ac:dyDescent="0.35">
      <c r="A208">
        <v>2020</v>
      </c>
      <c r="B208">
        <v>17</v>
      </c>
      <c r="C208">
        <v>17</v>
      </c>
      <c r="D208" t="s">
        <v>46</v>
      </c>
      <c r="E208" t="s">
        <v>47</v>
      </c>
      <c r="F208" t="s">
        <v>401</v>
      </c>
      <c r="G208">
        <v>5</v>
      </c>
      <c r="H208" t="s">
        <v>25</v>
      </c>
      <c r="I208" t="s">
        <v>56</v>
      </c>
      <c r="J208" t="s">
        <v>197</v>
      </c>
      <c r="K208" t="s">
        <v>381</v>
      </c>
      <c r="L208" t="s">
        <v>382</v>
      </c>
      <c r="M208" t="s">
        <v>154</v>
      </c>
      <c r="N208" t="s">
        <v>383</v>
      </c>
      <c r="O208">
        <v>5</v>
      </c>
      <c r="P208" t="s">
        <v>18</v>
      </c>
      <c r="Q208">
        <f>ABS(Table1[[#This Row],[Rate]]-Table1[[#This Row],[AI RATE]])</f>
        <v>0</v>
      </c>
      <c r="R208">
        <f>IF(Table1[[#This Row],[NEW RATING2]]&gt;0, Table1[[#This Row],[NEW RATING2]],Table1[[#This Row],[Rate]])</f>
        <v>5</v>
      </c>
      <c r="S208">
        <f>IF(Table1[[#This Row],[Rate]] =Table1[[#This Row],[AI RATE]],1, 0)</f>
        <v>1</v>
      </c>
    </row>
    <row r="209" spans="1:20" x14ac:dyDescent="0.35">
      <c r="A209">
        <v>2020</v>
      </c>
      <c r="B209">
        <v>18</v>
      </c>
      <c r="C209">
        <v>18</v>
      </c>
      <c r="D209" t="s">
        <v>19</v>
      </c>
      <c r="E209" t="s">
        <v>20</v>
      </c>
      <c r="F209" t="s">
        <v>402</v>
      </c>
      <c r="G209">
        <v>2</v>
      </c>
      <c r="H209" t="s">
        <v>55</v>
      </c>
      <c r="I209" t="s">
        <v>45</v>
      </c>
      <c r="J209" t="s">
        <v>197</v>
      </c>
      <c r="K209" t="s">
        <v>381</v>
      </c>
      <c r="L209" t="s">
        <v>382</v>
      </c>
      <c r="M209" t="s">
        <v>154</v>
      </c>
      <c r="N209" t="s">
        <v>383</v>
      </c>
      <c r="O209">
        <v>2</v>
      </c>
      <c r="P209" t="s">
        <v>18</v>
      </c>
      <c r="Q209">
        <f>ABS(Table1[[#This Row],[Rate]]-Table1[[#This Row],[AI RATE]])</f>
        <v>0</v>
      </c>
      <c r="R209">
        <f>IF(Table1[[#This Row],[NEW RATING2]]&gt;0, Table1[[#This Row],[NEW RATING2]],Table1[[#This Row],[Rate]])</f>
        <v>2</v>
      </c>
      <c r="S209">
        <f>IF(Table1[[#This Row],[Rate]] =Table1[[#This Row],[AI RATE]],1, 0)</f>
        <v>1</v>
      </c>
    </row>
    <row r="210" spans="1:20" x14ac:dyDescent="0.35">
      <c r="A210">
        <v>2020</v>
      </c>
      <c r="B210">
        <v>19</v>
      </c>
      <c r="C210">
        <v>19</v>
      </c>
      <c r="D210" t="s">
        <v>394</v>
      </c>
      <c r="E210" t="s">
        <v>395</v>
      </c>
      <c r="F210" t="s">
        <v>403</v>
      </c>
      <c r="G210">
        <v>1</v>
      </c>
      <c r="H210" t="s">
        <v>124</v>
      </c>
      <c r="I210" t="s">
        <v>101</v>
      </c>
      <c r="J210" t="s">
        <v>197</v>
      </c>
      <c r="K210" t="s">
        <v>381</v>
      </c>
      <c r="L210" t="s">
        <v>382</v>
      </c>
      <c r="M210" t="s">
        <v>154</v>
      </c>
      <c r="N210" t="s">
        <v>383</v>
      </c>
      <c r="O210">
        <v>1</v>
      </c>
      <c r="P210" t="s">
        <v>18</v>
      </c>
      <c r="Q210">
        <f>ABS(Table1[[#This Row],[Rate]]-Table1[[#This Row],[AI RATE]])</f>
        <v>0</v>
      </c>
      <c r="R210">
        <f>IF(Table1[[#This Row],[NEW RATING2]]&gt;0, Table1[[#This Row],[NEW RATING2]],Table1[[#This Row],[Rate]])</f>
        <v>1</v>
      </c>
      <c r="S210">
        <f>IF(Table1[[#This Row],[Rate]] =Table1[[#This Row],[AI RATE]],1, 0)</f>
        <v>1</v>
      </c>
    </row>
    <row r="211" spans="1:20" x14ac:dyDescent="0.35">
      <c r="A211">
        <v>2020</v>
      </c>
      <c r="B211">
        <v>20</v>
      </c>
      <c r="C211">
        <v>20</v>
      </c>
      <c r="D211" t="s">
        <v>71</v>
      </c>
      <c r="E211" t="s">
        <v>72</v>
      </c>
      <c r="F211" t="s">
        <v>404</v>
      </c>
      <c r="G211">
        <v>3</v>
      </c>
      <c r="H211" t="s">
        <v>123</v>
      </c>
      <c r="I211" t="s">
        <v>70</v>
      </c>
      <c r="J211" t="s">
        <v>197</v>
      </c>
      <c r="K211" t="s">
        <v>381</v>
      </c>
      <c r="L211" t="s">
        <v>382</v>
      </c>
      <c r="M211" t="s">
        <v>154</v>
      </c>
      <c r="N211" t="s">
        <v>383</v>
      </c>
      <c r="O211">
        <v>1</v>
      </c>
      <c r="P211" t="s">
        <v>18</v>
      </c>
      <c r="Q211">
        <f>ABS(Table1[[#This Row],[Rate]]-Table1[[#This Row],[AI RATE]])</f>
        <v>2</v>
      </c>
      <c r="R211">
        <f>IF(Table1[[#This Row],[NEW RATING2]]&gt;0, Table1[[#This Row],[NEW RATING2]],Table1[[#This Row],[Rate]])</f>
        <v>3</v>
      </c>
      <c r="S211">
        <f>IF(Table1[[#This Row],[Rate]] =Table1[[#This Row],[AI RATE]],1, 0)</f>
        <v>0</v>
      </c>
      <c r="T211">
        <v>3</v>
      </c>
    </row>
    <row r="212" spans="1:20" x14ac:dyDescent="0.35">
      <c r="A212">
        <v>2020</v>
      </c>
      <c r="B212">
        <v>21</v>
      </c>
      <c r="C212">
        <v>21</v>
      </c>
      <c r="D212" t="s">
        <v>93</v>
      </c>
      <c r="E212" t="s">
        <v>94</v>
      </c>
      <c r="F212" t="s">
        <v>405</v>
      </c>
      <c r="G212">
        <v>2</v>
      </c>
      <c r="H212" t="s">
        <v>25</v>
      </c>
      <c r="I212" t="s">
        <v>141</v>
      </c>
      <c r="J212" t="s">
        <v>197</v>
      </c>
      <c r="K212" t="s">
        <v>381</v>
      </c>
      <c r="L212" t="s">
        <v>382</v>
      </c>
      <c r="M212" t="s">
        <v>154</v>
      </c>
      <c r="N212" t="s">
        <v>383</v>
      </c>
      <c r="O212">
        <v>1</v>
      </c>
      <c r="P212" t="s">
        <v>18</v>
      </c>
      <c r="Q212">
        <f>ABS(Table1[[#This Row],[Rate]]-Table1[[#This Row],[AI RATE]])</f>
        <v>1</v>
      </c>
      <c r="R212">
        <f>IF(Table1[[#This Row],[NEW RATING2]]&gt;0, Table1[[#This Row],[NEW RATING2]],Table1[[#This Row],[Rate]])</f>
        <v>2</v>
      </c>
      <c r="S212">
        <f>IF(Table1[[#This Row],[Rate]] =Table1[[#This Row],[AI RATE]],1, 0)</f>
        <v>0</v>
      </c>
    </row>
    <row r="213" spans="1:20" x14ac:dyDescent="0.35">
      <c r="A213">
        <v>2020</v>
      </c>
      <c r="B213">
        <v>22</v>
      </c>
      <c r="C213">
        <v>22</v>
      </c>
      <c r="D213" t="s">
        <v>35</v>
      </c>
      <c r="E213" t="s">
        <v>36</v>
      </c>
      <c r="F213" t="s">
        <v>406</v>
      </c>
      <c r="G213">
        <v>5</v>
      </c>
      <c r="H213" t="s">
        <v>25</v>
      </c>
      <c r="I213" t="s">
        <v>70</v>
      </c>
      <c r="J213" t="s">
        <v>197</v>
      </c>
      <c r="K213" t="s">
        <v>381</v>
      </c>
      <c r="L213" t="s">
        <v>382</v>
      </c>
      <c r="M213" t="s">
        <v>154</v>
      </c>
      <c r="N213" t="s">
        <v>383</v>
      </c>
      <c r="O213">
        <v>5</v>
      </c>
      <c r="P213" t="s">
        <v>18</v>
      </c>
      <c r="Q213">
        <f>ABS(Table1[[#This Row],[Rate]]-Table1[[#This Row],[AI RATE]])</f>
        <v>0</v>
      </c>
      <c r="R213">
        <f>IF(Table1[[#This Row],[NEW RATING2]]&gt;0, Table1[[#This Row],[NEW RATING2]],Table1[[#This Row],[Rate]])</f>
        <v>5</v>
      </c>
      <c r="S213">
        <f>IF(Table1[[#This Row],[Rate]] =Table1[[#This Row],[AI RATE]],1, 0)</f>
        <v>1</v>
      </c>
    </row>
    <row r="214" spans="1:20" x14ac:dyDescent="0.35">
      <c r="A214">
        <v>2020</v>
      </c>
      <c r="B214">
        <v>23</v>
      </c>
      <c r="C214">
        <v>23</v>
      </c>
      <c r="D214" t="s">
        <v>283</v>
      </c>
      <c r="E214" t="s">
        <v>284</v>
      </c>
      <c r="F214" t="s">
        <v>407</v>
      </c>
      <c r="G214">
        <v>2</v>
      </c>
      <c r="H214" t="s">
        <v>140</v>
      </c>
      <c r="I214" t="s">
        <v>56</v>
      </c>
      <c r="J214" t="s">
        <v>197</v>
      </c>
      <c r="K214" t="s">
        <v>381</v>
      </c>
      <c r="L214" t="s">
        <v>382</v>
      </c>
      <c r="M214" t="s">
        <v>154</v>
      </c>
      <c r="N214" t="s">
        <v>383</v>
      </c>
      <c r="O214">
        <v>2</v>
      </c>
      <c r="P214" t="s">
        <v>18</v>
      </c>
      <c r="Q214">
        <f>ABS(Table1[[#This Row],[Rate]]-Table1[[#This Row],[AI RATE]])</f>
        <v>0</v>
      </c>
      <c r="R214">
        <f>IF(Table1[[#This Row],[NEW RATING2]]&gt;0, Table1[[#This Row],[NEW RATING2]],Table1[[#This Row],[Rate]])</f>
        <v>2</v>
      </c>
      <c r="S214">
        <f>IF(Table1[[#This Row],[Rate]] =Table1[[#This Row],[AI RATE]],1, 0)</f>
        <v>1</v>
      </c>
    </row>
    <row r="215" spans="1:20" x14ac:dyDescent="0.35">
      <c r="A215">
        <v>2020</v>
      </c>
      <c r="B215">
        <v>24</v>
      </c>
      <c r="C215">
        <v>24</v>
      </c>
      <c r="D215" t="s">
        <v>53</v>
      </c>
      <c r="E215" t="s">
        <v>54</v>
      </c>
      <c r="F215" t="s">
        <v>408</v>
      </c>
      <c r="G215">
        <v>3</v>
      </c>
      <c r="H215" t="s">
        <v>220</v>
      </c>
      <c r="I215" t="s">
        <v>26</v>
      </c>
      <c r="J215" t="s">
        <v>197</v>
      </c>
      <c r="K215" t="s">
        <v>381</v>
      </c>
      <c r="L215" t="s">
        <v>382</v>
      </c>
      <c r="M215" t="s">
        <v>154</v>
      </c>
      <c r="N215" t="s">
        <v>383</v>
      </c>
      <c r="O215">
        <v>3</v>
      </c>
      <c r="P215" t="s">
        <v>18</v>
      </c>
      <c r="Q215">
        <f>ABS(Table1[[#This Row],[Rate]]-Table1[[#This Row],[AI RATE]])</f>
        <v>0</v>
      </c>
      <c r="R215">
        <f>IF(Table1[[#This Row],[NEW RATING2]]&gt;0, Table1[[#This Row],[NEW RATING2]],Table1[[#This Row],[Rate]])</f>
        <v>3</v>
      </c>
      <c r="S215">
        <f>IF(Table1[[#This Row],[Rate]] =Table1[[#This Row],[AI RATE]],1, 0)</f>
        <v>1</v>
      </c>
    </row>
    <row r="216" spans="1:20" x14ac:dyDescent="0.35">
      <c r="A216">
        <v>2020</v>
      </c>
      <c r="B216">
        <v>25</v>
      </c>
      <c r="C216">
        <v>25</v>
      </c>
      <c r="D216" t="s">
        <v>12</v>
      </c>
      <c r="E216" t="s">
        <v>13</v>
      </c>
      <c r="F216" t="s">
        <v>409</v>
      </c>
      <c r="G216">
        <v>4</v>
      </c>
      <c r="H216" t="s">
        <v>25</v>
      </c>
      <c r="I216" t="s">
        <v>234</v>
      </c>
      <c r="J216" t="s">
        <v>197</v>
      </c>
      <c r="K216" t="s">
        <v>381</v>
      </c>
      <c r="L216" t="s">
        <v>382</v>
      </c>
      <c r="M216" t="s">
        <v>154</v>
      </c>
      <c r="N216" t="s">
        <v>383</v>
      </c>
      <c r="O216">
        <v>4</v>
      </c>
      <c r="P216" t="s">
        <v>18</v>
      </c>
      <c r="Q216">
        <f>ABS(Table1[[#This Row],[Rate]]-Table1[[#This Row],[AI RATE]])</f>
        <v>0</v>
      </c>
      <c r="R216">
        <f>IF(Table1[[#This Row],[NEW RATING2]]&gt;0, Table1[[#This Row],[NEW RATING2]],Table1[[#This Row],[Rate]])</f>
        <v>4</v>
      </c>
      <c r="S216">
        <f>IF(Table1[[#This Row],[Rate]] =Table1[[#This Row],[AI RATE]],1, 0)</f>
        <v>1</v>
      </c>
    </row>
    <row r="217" spans="1:20" x14ac:dyDescent="0.35">
      <c r="A217">
        <v>2020</v>
      </c>
      <c r="B217">
        <v>26</v>
      </c>
      <c r="C217">
        <v>26</v>
      </c>
      <c r="D217" t="s">
        <v>78</v>
      </c>
      <c r="E217" t="s">
        <v>79</v>
      </c>
      <c r="F217" t="s">
        <v>410</v>
      </c>
      <c r="G217">
        <v>4</v>
      </c>
      <c r="H217" t="s">
        <v>14</v>
      </c>
      <c r="I217" t="s">
        <v>411</v>
      </c>
      <c r="J217" t="s">
        <v>197</v>
      </c>
      <c r="K217" t="s">
        <v>381</v>
      </c>
      <c r="L217" t="s">
        <v>382</v>
      </c>
      <c r="M217" t="s">
        <v>154</v>
      </c>
      <c r="N217" t="s">
        <v>383</v>
      </c>
      <c r="O217">
        <v>3</v>
      </c>
      <c r="P217" t="s">
        <v>18</v>
      </c>
      <c r="Q217">
        <f>ABS(Table1[[#This Row],[Rate]]-Table1[[#This Row],[AI RATE]])</f>
        <v>1</v>
      </c>
      <c r="R217">
        <f>IF(Table1[[#This Row],[NEW RATING2]]&gt;0, Table1[[#This Row],[NEW RATING2]],Table1[[#This Row],[Rate]])</f>
        <v>4</v>
      </c>
      <c r="S217">
        <f>IF(Table1[[#This Row],[Rate]] =Table1[[#This Row],[AI RATE]],1, 0)</f>
        <v>0</v>
      </c>
    </row>
    <row r="218" spans="1:20" x14ac:dyDescent="0.35">
      <c r="A218">
        <v>2020</v>
      </c>
      <c r="B218">
        <v>27</v>
      </c>
      <c r="C218">
        <v>27</v>
      </c>
      <c r="D218" t="s">
        <v>81</v>
      </c>
      <c r="E218" t="s">
        <v>82</v>
      </c>
      <c r="F218" t="s">
        <v>412</v>
      </c>
      <c r="G218">
        <v>2</v>
      </c>
      <c r="H218" t="s">
        <v>123</v>
      </c>
      <c r="I218" t="s">
        <v>134</v>
      </c>
      <c r="J218" t="s">
        <v>197</v>
      </c>
      <c r="K218" t="s">
        <v>381</v>
      </c>
      <c r="L218" t="s">
        <v>382</v>
      </c>
      <c r="M218" t="s">
        <v>154</v>
      </c>
      <c r="N218" t="s">
        <v>383</v>
      </c>
      <c r="O218">
        <v>4</v>
      </c>
      <c r="P218" t="s">
        <v>18</v>
      </c>
      <c r="Q218">
        <f>ABS(Table1[[#This Row],[Rate]]-Table1[[#This Row],[AI RATE]])</f>
        <v>2</v>
      </c>
      <c r="R218">
        <f>IF(Table1[[#This Row],[NEW RATING2]]&gt;0, Table1[[#This Row],[NEW RATING2]],Table1[[#This Row],[Rate]])</f>
        <v>3</v>
      </c>
      <c r="S218">
        <f>IF(Table1[[#This Row],[Rate]] =Table1[[#This Row],[AI RATE]],1, 0)</f>
        <v>0</v>
      </c>
      <c r="T218">
        <v>3</v>
      </c>
    </row>
    <row r="219" spans="1:20" x14ac:dyDescent="0.35">
      <c r="A219">
        <v>2020</v>
      </c>
      <c r="B219">
        <v>28</v>
      </c>
      <c r="C219">
        <v>28</v>
      </c>
      <c r="D219" t="s">
        <v>74</v>
      </c>
      <c r="E219" t="s">
        <v>75</v>
      </c>
      <c r="F219" t="s">
        <v>413</v>
      </c>
      <c r="G219">
        <v>3</v>
      </c>
      <c r="H219" t="s">
        <v>140</v>
      </c>
      <c r="I219" t="s">
        <v>70</v>
      </c>
      <c r="J219" t="s">
        <v>197</v>
      </c>
      <c r="K219" t="s">
        <v>381</v>
      </c>
      <c r="L219" t="s">
        <v>382</v>
      </c>
      <c r="M219" t="s">
        <v>154</v>
      </c>
      <c r="N219" t="s">
        <v>383</v>
      </c>
      <c r="O219">
        <v>4</v>
      </c>
      <c r="P219" t="s">
        <v>18</v>
      </c>
      <c r="Q219">
        <f>ABS(Table1[[#This Row],[Rate]]-Table1[[#This Row],[AI RATE]])</f>
        <v>1</v>
      </c>
      <c r="R219">
        <f>IF(Table1[[#This Row],[NEW RATING2]]&gt;0, Table1[[#This Row],[NEW RATING2]],Table1[[#This Row],[Rate]])</f>
        <v>3</v>
      </c>
      <c r="S219">
        <f>IF(Table1[[#This Row],[Rate]] =Table1[[#This Row],[AI RATE]],1, 0)</f>
        <v>0</v>
      </c>
    </row>
    <row r="220" spans="1:20" x14ac:dyDescent="0.35">
      <c r="A220">
        <v>2020</v>
      </c>
      <c r="B220">
        <v>29</v>
      </c>
      <c r="C220">
        <v>29</v>
      </c>
      <c r="D220" t="s">
        <v>32</v>
      </c>
      <c r="E220" t="s">
        <v>33</v>
      </c>
      <c r="F220" t="s">
        <v>414</v>
      </c>
      <c r="G220">
        <v>1</v>
      </c>
      <c r="H220" t="s">
        <v>55</v>
      </c>
      <c r="I220" t="s">
        <v>59</v>
      </c>
      <c r="J220" t="s">
        <v>197</v>
      </c>
      <c r="K220" t="s">
        <v>381</v>
      </c>
      <c r="L220" t="s">
        <v>382</v>
      </c>
      <c r="M220" t="s">
        <v>154</v>
      </c>
      <c r="N220" t="s">
        <v>383</v>
      </c>
      <c r="O220">
        <v>1</v>
      </c>
      <c r="P220" t="s">
        <v>18</v>
      </c>
      <c r="Q220">
        <f>ABS(Table1[[#This Row],[Rate]]-Table1[[#This Row],[AI RATE]])</f>
        <v>0</v>
      </c>
      <c r="R220">
        <f>IF(Table1[[#This Row],[NEW RATING2]]&gt;0, Table1[[#This Row],[NEW RATING2]],Table1[[#This Row],[Rate]])</f>
        <v>1</v>
      </c>
      <c r="S220">
        <f>IF(Table1[[#This Row],[Rate]] =Table1[[#This Row],[AI RATE]],1, 0)</f>
        <v>1</v>
      </c>
    </row>
    <row r="221" spans="1:20" x14ac:dyDescent="0.35">
      <c r="A221">
        <v>2020</v>
      </c>
      <c r="B221">
        <v>30</v>
      </c>
      <c r="C221">
        <v>30</v>
      </c>
      <c r="D221" t="s">
        <v>19</v>
      </c>
      <c r="E221" t="s">
        <v>20</v>
      </c>
      <c r="F221" t="s">
        <v>415</v>
      </c>
      <c r="G221">
        <v>2</v>
      </c>
      <c r="H221" t="s">
        <v>124</v>
      </c>
      <c r="I221" t="s">
        <v>22</v>
      </c>
      <c r="J221" t="s">
        <v>197</v>
      </c>
      <c r="K221" t="s">
        <v>381</v>
      </c>
      <c r="L221" t="s">
        <v>382</v>
      </c>
      <c r="M221" t="s">
        <v>154</v>
      </c>
      <c r="N221" t="s">
        <v>383</v>
      </c>
      <c r="O221">
        <v>1</v>
      </c>
      <c r="P221" t="s">
        <v>18</v>
      </c>
      <c r="Q221">
        <f>ABS(Table1[[#This Row],[Rate]]-Table1[[#This Row],[AI RATE]])</f>
        <v>1</v>
      </c>
      <c r="R221">
        <f>IF(Table1[[#This Row],[NEW RATING2]]&gt;0, Table1[[#This Row],[NEW RATING2]],Table1[[#This Row],[Rate]])</f>
        <v>2</v>
      </c>
      <c r="S221">
        <f>IF(Table1[[#This Row],[Rate]] =Table1[[#This Row],[AI RATE]],1, 0)</f>
        <v>0</v>
      </c>
    </row>
    <row r="222" spans="1:20" x14ac:dyDescent="0.35">
      <c r="A222">
        <v>2020</v>
      </c>
      <c r="B222">
        <v>32</v>
      </c>
      <c r="C222">
        <v>32</v>
      </c>
      <c r="D222" t="s">
        <v>60</v>
      </c>
      <c r="E222" t="s">
        <v>61</v>
      </c>
      <c r="F222" t="s">
        <v>416</v>
      </c>
      <c r="G222">
        <v>2</v>
      </c>
      <c r="H222" t="s">
        <v>21</v>
      </c>
      <c r="I222" t="s">
        <v>70</v>
      </c>
      <c r="J222" t="s">
        <v>197</v>
      </c>
      <c r="K222" t="s">
        <v>381</v>
      </c>
      <c r="L222" t="s">
        <v>382</v>
      </c>
      <c r="M222" t="s">
        <v>154</v>
      </c>
      <c r="N222" t="s">
        <v>383</v>
      </c>
      <c r="O222">
        <v>2</v>
      </c>
      <c r="P222" t="s">
        <v>18</v>
      </c>
      <c r="Q222">
        <f>ABS(Table1[[#This Row],[Rate]]-Table1[[#This Row],[AI RATE]])</f>
        <v>0</v>
      </c>
      <c r="R222">
        <f>IF(Table1[[#This Row],[NEW RATING2]]&gt;0, Table1[[#This Row],[NEW RATING2]],Table1[[#This Row],[Rate]])</f>
        <v>2</v>
      </c>
      <c r="S222">
        <f>IF(Table1[[#This Row],[Rate]] =Table1[[#This Row],[AI RATE]],1, 0)</f>
        <v>1</v>
      </c>
    </row>
    <row r="223" spans="1:20" x14ac:dyDescent="0.35">
      <c r="A223">
        <v>2021</v>
      </c>
      <c r="B223">
        <v>1</v>
      </c>
      <c r="C223">
        <v>1</v>
      </c>
      <c r="D223" t="s">
        <v>71</v>
      </c>
      <c r="E223" t="s">
        <v>72</v>
      </c>
      <c r="F223" t="s">
        <v>417</v>
      </c>
      <c r="G223">
        <v>4</v>
      </c>
      <c r="H223" t="s">
        <v>14</v>
      </c>
      <c r="I223" t="s">
        <v>107</v>
      </c>
      <c r="J223" t="s">
        <v>603</v>
      </c>
      <c r="K223" t="s">
        <v>418</v>
      </c>
      <c r="L223" t="s">
        <v>199</v>
      </c>
      <c r="M223" t="s">
        <v>154</v>
      </c>
      <c r="N223" t="s">
        <v>419</v>
      </c>
      <c r="O223">
        <v>3</v>
      </c>
      <c r="P223" t="s">
        <v>18</v>
      </c>
      <c r="Q223">
        <f>ABS(Table1[[#This Row],[Rate]]-Table1[[#This Row],[AI RATE]])</f>
        <v>1</v>
      </c>
      <c r="R223">
        <f>IF(Table1[[#This Row],[NEW RATING2]]&gt;0, Table1[[#This Row],[NEW RATING2]],Table1[[#This Row],[Rate]])</f>
        <v>4</v>
      </c>
      <c r="S223">
        <f>IF(Table1[[#This Row],[Rate]] =Table1[[#This Row],[AI RATE]],1, 0)</f>
        <v>0</v>
      </c>
    </row>
    <row r="224" spans="1:20" x14ac:dyDescent="0.35">
      <c r="A224">
        <v>2021</v>
      </c>
      <c r="B224">
        <v>2</v>
      </c>
      <c r="C224">
        <v>2</v>
      </c>
      <c r="D224" t="s">
        <v>99</v>
      </c>
      <c r="E224" t="s">
        <v>100</v>
      </c>
      <c r="F224" t="s">
        <v>420</v>
      </c>
      <c r="G224">
        <v>2</v>
      </c>
      <c r="H224" t="s">
        <v>14</v>
      </c>
      <c r="I224" t="s">
        <v>148</v>
      </c>
      <c r="J224" t="s">
        <v>151</v>
      </c>
      <c r="K224" t="s">
        <v>152</v>
      </c>
      <c r="L224" t="s">
        <v>153</v>
      </c>
      <c r="M224" t="s">
        <v>154</v>
      </c>
      <c r="N224" t="s">
        <v>419</v>
      </c>
      <c r="O224">
        <v>1</v>
      </c>
      <c r="P224" t="s">
        <v>18</v>
      </c>
      <c r="Q224">
        <f>ABS(Table1[[#This Row],[Rate]]-Table1[[#This Row],[AI RATE]])</f>
        <v>1</v>
      </c>
      <c r="R224">
        <f>IF(Table1[[#This Row],[NEW RATING2]]&gt;0, Table1[[#This Row],[NEW RATING2]],Table1[[#This Row],[Rate]])</f>
        <v>2</v>
      </c>
      <c r="S224">
        <f>IF(Table1[[#This Row],[Rate]] =Table1[[#This Row],[AI RATE]],1, 0)</f>
        <v>0</v>
      </c>
    </row>
    <row r="225" spans="1:20" x14ac:dyDescent="0.35">
      <c r="A225">
        <v>2021</v>
      </c>
      <c r="B225">
        <v>3</v>
      </c>
      <c r="C225">
        <v>3</v>
      </c>
      <c r="D225" t="s">
        <v>12</v>
      </c>
      <c r="E225" t="s">
        <v>13</v>
      </c>
      <c r="F225" t="s">
        <v>421</v>
      </c>
      <c r="G225">
        <v>1</v>
      </c>
      <c r="H225" t="s">
        <v>14</v>
      </c>
      <c r="I225" t="s">
        <v>242</v>
      </c>
      <c r="J225" t="s">
        <v>151</v>
      </c>
      <c r="K225" t="s">
        <v>152</v>
      </c>
      <c r="L225" t="s">
        <v>153</v>
      </c>
      <c r="M225" t="s">
        <v>154</v>
      </c>
      <c r="N225" t="s">
        <v>419</v>
      </c>
      <c r="O225">
        <v>1</v>
      </c>
      <c r="P225" t="s">
        <v>18</v>
      </c>
      <c r="Q225">
        <f>ABS(Table1[[#This Row],[Rate]]-Table1[[#This Row],[AI RATE]])</f>
        <v>0</v>
      </c>
      <c r="R225">
        <f>IF(Table1[[#This Row],[NEW RATING2]]&gt;0, Table1[[#This Row],[NEW RATING2]],Table1[[#This Row],[Rate]])</f>
        <v>1</v>
      </c>
      <c r="S225">
        <f>IF(Table1[[#This Row],[Rate]] =Table1[[#This Row],[AI RATE]],1, 0)</f>
        <v>1</v>
      </c>
    </row>
    <row r="226" spans="1:20" x14ac:dyDescent="0.35">
      <c r="A226">
        <v>2021</v>
      </c>
      <c r="B226">
        <v>4</v>
      </c>
      <c r="C226">
        <v>4</v>
      </c>
      <c r="D226" t="s">
        <v>84</v>
      </c>
      <c r="E226" t="s">
        <v>85</v>
      </c>
      <c r="F226" t="s">
        <v>422</v>
      </c>
      <c r="G226">
        <v>4</v>
      </c>
      <c r="H226" t="s">
        <v>92</v>
      </c>
      <c r="I226" t="s">
        <v>120</v>
      </c>
      <c r="J226" t="s">
        <v>151</v>
      </c>
      <c r="K226" t="s">
        <v>152</v>
      </c>
      <c r="L226" t="s">
        <v>153</v>
      </c>
      <c r="M226" t="s">
        <v>154</v>
      </c>
      <c r="N226" t="s">
        <v>419</v>
      </c>
      <c r="O226">
        <v>2</v>
      </c>
      <c r="P226" t="s">
        <v>18</v>
      </c>
      <c r="Q226">
        <f>ABS(Table1[[#This Row],[Rate]]-Table1[[#This Row],[AI RATE]])</f>
        <v>2</v>
      </c>
      <c r="R226">
        <f>IF(Table1[[#This Row],[NEW RATING2]]&gt;0, Table1[[#This Row],[NEW RATING2]],Table1[[#This Row],[Rate]])</f>
        <v>4</v>
      </c>
      <c r="S226">
        <f>IF(Table1[[#This Row],[Rate]] =Table1[[#This Row],[AI RATE]],1, 0)</f>
        <v>0</v>
      </c>
      <c r="T226">
        <v>4</v>
      </c>
    </row>
    <row r="227" spans="1:20" x14ac:dyDescent="0.35">
      <c r="A227">
        <v>2021</v>
      </c>
      <c r="B227">
        <v>5</v>
      </c>
      <c r="C227">
        <v>5</v>
      </c>
      <c r="D227" t="s">
        <v>65</v>
      </c>
      <c r="E227" t="s">
        <v>66</v>
      </c>
      <c r="F227" t="s">
        <v>423</v>
      </c>
      <c r="G227">
        <v>5</v>
      </c>
      <c r="H227" t="s">
        <v>25</v>
      </c>
      <c r="I227" t="s">
        <v>70</v>
      </c>
      <c r="J227" t="s">
        <v>151</v>
      </c>
      <c r="K227" t="s">
        <v>152</v>
      </c>
      <c r="L227" t="s">
        <v>153</v>
      </c>
      <c r="M227" t="s">
        <v>154</v>
      </c>
      <c r="N227" t="s">
        <v>419</v>
      </c>
      <c r="O227">
        <v>5</v>
      </c>
      <c r="P227" t="s">
        <v>18</v>
      </c>
      <c r="Q227">
        <f>ABS(Table1[[#This Row],[Rate]]-Table1[[#This Row],[AI RATE]])</f>
        <v>0</v>
      </c>
      <c r="R227">
        <f>IF(Table1[[#This Row],[NEW RATING2]]&gt;0, Table1[[#This Row],[NEW RATING2]],Table1[[#This Row],[Rate]])</f>
        <v>5</v>
      </c>
      <c r="S227">
        <f>IF(Table1[[#This Row],[Rate]] =Table1[[#This Row],[AI RATE]],1, 0)</f>
        <v>1</v>
      </c>
    </row>
    <row r="228" spans="1:20" x14ac:dyDescent="0.35">
      <c r="A228">
        <v>2021</v>
      </c>
      <c r="B228">
        <v>6</v>
      </c>
      <c r="C228">
        <v>6</v>
      </c>
      <c r="D228" t="s">
        <v>19</v>
      </c>
      <c r="E228" t="s">
        <v>20</v>
      </c>
      <c r="F228" t="s">
        <v>424</v>
      </c>
      <c r="G228">
        <v>4</v>
      </c>
      <c r="H228" t="s">
        <v>25</v>
      </c>
      <c r="I228" t="s">
        <v>133</v>
      </c>
      <c r="J228" t="s">
        <v>151</v>
      </c>
      <c r="K228" t="s">
        <v>152</v>
      </c>
      <c r="L228" t="s">
        <v>153</v>
      </c>
      <c r="M228" t="s">
        <v>154</v>
      </c>
      <c r="N228" t="s">
        <v>419</v>
      </c>
      <c r="O228">
        <v>4</v>
      </c>
      <c r="P228" t="s">
        <v>18</v>
      </c>
      <c r="Q228">
        <f>ABS(Table1[[#This Row],[Rate]]-Table1[[#This Row],[AI RATE]])</f>
        <v>0</v>
      </c>
      <c r="R228">
        <f>IF(Table1[[#This Row],[NEW RATING2]]&gt;0, Table1[[#This Row],[NEW RATING2]],Table1[[#This Row],[Rate]])</f>
        <v>4</v>
      </c>
      <c r="S228">
        <f>IF(Table1[[#This Row],[Rate]] =Table1[[#This Row],[AI RATE]],1, 0)</f>
        <v>1</v>
      </c>
    </row>
    <row r="229" spans="1:20" x14ac:dyDescent="0.35">
      <c r="A229">
        <v>2021</v>
      </c>
      <c r="B229">
        <v>7</v>
      </c>
      <c r="C229">
        <v>7</v>
      </c>
      <c r="D229" t="s">
        <v>42</v>
      </c>
      <c r="E229" t="s">
        <v>43</v>
      </c>
      <c r="F229" t="s">
        <v>425</v>
      </c>
      <c r="G229">
        <v>5</v>
      </c>
      <c r="H229" t="s">
        <v>55</v>
      </c>
      <c r="I229" t="s">
        <v>106</v>
      </c>
      <c r="J229" t="s">
        <v>603</v>
      </c>
      <c r="K229" t="s">
        <v>426</v>
      </c>
      <c r="L229" t="s">
        <v>199</v>
      </c>
      <c r="M229" t="s">
        <v>154</v>
      </c>
      <c r="N229" t="s">
        <v>419</v>
      </c>
      <c r="O229">
        <v>5</v>
      </c>
      <c r="P229" t="s">
        <v>18</v>
      </c>
      <c r="Q229">
        <f>ABS(Table1[[#This Row],[Rate]]-Table1[[#This Row],[AI RATE]])</f>
        <v>0</v>
      </c>
      <c r="R229">
        <f>IF(Table1[[#This Row],[NEW RATING2]]&gt;0, Table1[[#This Row],[NEW RATING2]],Table1[[#This Row],[Rate]])</f>
        <v>5</v>
      </c>
      <c r="S229">
        <f>IF(Table1[[#This Row],[Rate]] =Table1[[#This Row],[AI RATE]],1, 0)</f>
        <v>1</v>
      </c>
    </row>
    <row r="230" spans="1:20" x14ac:dyDescent="0.35">
      <c r="A230">
        <v>2021</v>
      </c>
      <c r="B230">
        <v>8</v>
      </c>
      <c r="C230">
        <v>8</v>
      </c>
      <c r="D230" t="s">
        <v>57</v>
      </c>
      <c r="E230" t="s">
        <v>58</v>
      </c>
      <c r="F230" t="s">
        <v>427</v>
      </c>
      <c r="G230">
        <v>4</v>
      </c>
      <c r="H230" t="s">
        <v>124</v>
      </c>
      <c r="I230" t="s">
        <v>37</v>
      </c>
      <c r="J230" t="s">
        <v>603</v>
      </c>
      <c r="K230" t="s">
        <v>426</v>
      </c>
      <c r="L230" t="s">
        <v>199</v>
      </c>
      <c r="M230" t="s">
        <v>154</v>
      </c>
      <c r="N230" t="s">
        <v>419</v>
      </c>
      <c r="O230">
        <v>4</v>
      </c>
      <c r="P230" t="s">
        <v>18</v>
      </c>
      <c r="Q230">
        <f>ABS(Table1[[#This Row],[Rate]]-Table1[[#This Row],[AI RATE]])</f>
        <v>0</v>
      </c>
      <c r="R230">
        <f>IF(Table1[[#This Row],[NEW RATING2]]&gt;0, Table1[[#This Row],[NEW RATING2]],Table1[[#This Row],[Rate]])</f>
        <v>4</v>
      </c>
      <c r="S230">
        <f>IF(Table1[[#This Row],[Rate]] =Table1[[#This Row],[AI RATE]],1, 0)</f>
        <v>1</v>
      </c>
    </row>
    <row r="231" spans="1:20" x14ac:dyDescent="0.35">
      <c r="A231">
        <v>2021</v>
      </c>
      <c r="B231">
        <v>9</v>
      </c>
      <c r="C231">
        <v>9</v>
      </c>
      <c r="D231" t="s">
        <v>104</v>
      </c>
      <c r="E231" t="s">
        <v>105</v>
      </c>
      <c r="F231" t="s">
        <v>428</v>
      </c>
      <c r="G231">
        <v>5</v>
      </c>
      <c r="H231" t="s">
        <v>124</v>
      </c>
      <c r="I231" t="s">
        <v>133</v>
      </c>
      <c r="J231" t="s">
        <v>603</v>
      </c>
      <c r="K231" t="s">
        <v>172</v>
      </c>
      <c r="L231" t="s">
        <v>16</v>
      </c>
      <c r="M231" t="s">
        <v>17</v>
      </c>
      <c r="O231">
        <v>5</v>
      </c>
      <c r="P231" t="s">
        <v>18</v>
      </c>
      <c r="Q231">
        <f>ABS(Table1[[#This Row],[Rate]]-Table1[[#This Row],[AI RATE]])</f>
        <v>0</v>
      </c>
      <c r="R231">
        <f>IF(Table1[[#This Row],[NEW RATING2]]&gt;0, Table1[[#This Row],[NEW RATING2]],Table1[[#This Row],[Rate]])</f>
        <v>5</v>
      </c>
      <c r="S231">
        <f>IF(Table1[[#This Row],[Rate]] =Table1[[#This Row],[AI RATE]],1, 0)</f>
        <v>1</v>
      </c>
    </row>
    <row r="232" spans="1:20" x14ac:dyDescent="0.35">
      <c r="A232">
        <v>2021</v>
      </c>
      <c r="B232">
        <v>10</v>
      </c>
      <c r="C232">
        <v>10</v>
      </c>
      <c r="D232" t="s">
        <v>93</v>
      </c>
      <c r="E232" t="s">
        <v>94</v>
      </c>
      <c r="F232" t="s">
        <v>429</v>
      </c>
      <c r="G232">
        <v>4</v>
      </c>
      <c r="H232" t="s">
        <v>25</v>
      </c>
      <c r="I232" t="s">
        <v>133</v>
      </c>
      <c r="J232" t="s">
        <v>151</v>
      </c>
      <c r="K232" t="s">
        <v>152</v>
      </c>
      <c r="L232" t="s">
        <v>153</v>
      </c>
      <c r="M232" t="s">
        <v>154</v>
      </c>
      <c r="N232" t="s">
        <v>419</v>
      </c>
      <c r="O232">
        <v>4</v>
      </c>
      <c r="P232" t="s">
        <v>18</v>
      </c>
      <c r="Q232">
        <f>ABS(Table1[[#This Row],[Rate]]-Table1[[#This Row],[AI RATE]])</f>
        <v>0</v>
      </c>
      <c r="R232">
        <f>IF(Table1[[#This Row],[NEW RATING2]]&gt;0, Table1[[#This Row],[NEW RATING2]],Table1[[#This Row],[Rate]])</f>
        <v>4</v>
      </c>
      <c r="S232">
        <f>IF(Table1[[#This Row],[Rate]] =Table1[[#This Row],[AI RATE]],1, 0)</f>
        <v>1</v>
      </c>
    </row>
    <row r="233" spans="1:20" x14ac:dyDescent="0.35">
      <c r="A233">
        <v>2021</v>
      </c>
      <c r="B233">
        <v>11</v>
      </c>
      <c r="C233">
        <v>11</v>
      </c>
      <c r="D233" t="s">
        <v>27</v>
      </c>
      <c r="E233" t="s">
        <v>28</v>
      </c>
      <c r="F233" t="s">
        <v>430</v>
      </c>
      <c r="G233">
        <v>2</v>
      </c>
      <c r="H233" t="s">
        <v>14</v>
      </c>
      <c r="I233" t="s">
        <v>101</v>
      </c>
      <c r="J233" t="s">
        <v>603</v>
      </c>
      <c r="K233" t="s">
        <v>426</v>
      </c>
      <c r="L233" t="s">
        <v>199</v>
      </c>
      <c r="M233" t="s">
        <v>154</v>
      </c>
      <c r="N233" t="s">
        <v>419</v>
      </c>
      <c r="O233">
        <v>2</v>
      </c>
      <c r="P233" t="s">
        <v>18</v>
      </c>
      <c r="Q233">
        <f>ABS(Table1[[#This Row],[Rate]]-Table1[[#This Row],[AI RATE]])</f>
        <v>0</v>
      </c>
      <c r="R233">
        <f>IF(Table1[[#This Row],[NEW RATING2]]&gt;0, Table1[[#This Row],[NEW RATING2]],Table1[[#This Row],[Rate]])</f>
        <v>2</v>
      </c>
      <c r="S233">
        <f>IF(Table1[[#This Row],[Rate]] =Table1[[#This Row],[AI RATE]],1, 0)</f>
        <v>1</v>
      </c>
    </row>
    <row r="234" spans="1:20" x14ac:dyDescent="0.35">
      <c r="A234">
        <v>2021</v>
      </c>
      <c r="B234">
        <v>12</v>
      </c>
      <c r="C234">
        <v>12</v>
      </c>
      <c r="D234" t="s">
        <v>46</v>
      </c>
      <c r="E234" t="s">
        <v>47</v>
      </c>
      <c r="F234" t="s">
        <v>431</v>
      </c>
      <c r="G234">
        <v>5</v>
      </c>
      <c r="H234" t="s">
        <v>140</v>
      </c>
      <c r="I234" t="s">
        <v>110</v>
      </c>
      <c r="J234" t="s">
        <v>151</v>
      </c>
      <c r="K234" t="s">
        <v>152</v>
      </c>
      <c r="L234" t="s">
        <v>153</v>
      </c>
      <c r="M234" t="s">
        <v>154</v>
      </c>
      <c r="N234" t="s">
        <v>419</v>
      </c>
      <c r="O234">
        <v>5</v>
      </c>
      <c r="P234" t="s">
        <v>18</v>
      </c>
      <c r="Q234">
        <f>ABS(Table1[[#This Row],[Rate]]-Table1[[#This Row],[AI RATE]])</f>
        <v>0</v>
      </c>
      <c r="R234">
        <f>IF(Table1[[#This Row],[NEW RATING2]]&gt;0, Table1[[#This Row],[NEW RATING2]],Table1[[#This Row],[Rate]])</f>
        <v>5</v>
      </c>
      <c r="S234">
        <f>IF(Table1[[#This Row],[Rate]] =Table1[[#This Row],[AI RATE]],1, 0)</f>
        <v>1</v>
      </c>
    </row>
    <row r="235" spans="1:20" x14ac:dyDescent="0.35">
      <c r="A235">
        <v>2021</v>
      </c>
      <c r="B235">
        <v>13</v>
      </c>
      <c r="C235">
        <v>13</v>
      </c>
      <c r="D235" t="s">
        <v>283</v>
      </c>
      <c r="E235" t="s">
        <v>284</v>
      </c>
      <c r="F235" t="s">
        <v>432</v>
      </c>
      <c r="G235">
        <v>5</v>
      </c>
      <c r="H235" t="s">
        <v>55</v>
      </c>
      <c r="I235" t="s">
        <v>87</v>
      </c>
      <c r="J235" t="s">
        <v>151</v>
      </c>
      <c r="K235" t="s">
        <v>152</v>
      </c>
      <c r="L235" t="s">
        <v>153</v>
      </c>
      <c r="M235" t="s">
        <v>154</v>
      </c>
      <c r="N235" t="s">
        <v>419</v>
      </c>
      <c r="O235">
        <v>4</v>
      </c>
      <c r="P235" t="s">
        <v>18</v>
      </c>
      <c r="Q235">
        <f>ABS(Table1[[#This Row],[Rate]]-Table1[[#This Row],[AI RATE]])</f>
        <v>1</v>
      </c>
      <c r="R235">
        <f>IF(Table1[[#This Row],[NEW RATING2]]&gt;0, Table1[[#This Row],[NEW RATING2]],Table1[[#This Row],[Rate]])</f>
        <v>5</v>
      </c>
      <c r="S235">
        <f>IF(Table1[[#This Row],[Rate]] =Table1[[#This Row],[AI RATE]],1, 0)</f>
        <v>0</v>
      </c>
    </row>
    <row r="236" spans="1:20" x14ac:dyDescent="0.35">
      <c r="A236">
        <v>2021</v>
      </c>
      <c r="B236">
        <v>14</v>
      </c>
      <c r="C236">
        <v>14</v>
      </c>
      <c r="D236" t="s">
        <v>99</v>
      </c>
      <c r="E236" t="s">
        <v>100</v>
      </c>
      <c r="F236" t="s">
        <v>433</v>
      </c>
      <c r="G236">
        <v>3</v>
      </c>
      <c r="H236" t="s">
        <v>97</v>
      </c>
      <c r="I236" t="s">
        <v>45</v>
      </c>
      <c r="J236" t="s">
        <v>603</v>
      </c>
      <c r="K236" t="s">
        <v>172</v>
      </c>
      <c r="L236" t="s">
        <v>16</v>
      </c>
      <c r="M236" t="s">
        <v>17</v>
      </c>
      <c r="O236">
        <v>4</v>
      </c>
      <c r="P236" t="s">
        <v>18</v>
      </c>
      <c r="Q236">
        <f>ABS(Table1[[#This Row],[Rate]]-Table1[[#This Row],[AI RATE]])</f>
        <v>1</v>
      </c>
      <c r="R236">
        <f>IF(Table1[[#This Row],[NEW RATING2]]&gt;0, Table1[[#This Row],[NEW RATING2]],Table1[[#This Row],[Rate]])</f>
        <v>3</v>
      </c>
      <c r="S236">
        <f>IF(Table1[[#This Row],[Rate]] =Table1[[#This Row],[AI RATE]],1, 0)</f>
        <v>0</v>
      </c>
    </row>
    <row r="237" spans="1:20" x14ac:dyDescent="0.35">
      <c r="A237">
        <v>2021</v>
      </c>
      <c r="B237">
        <v>15</v>
      </c>
      <c r="C237">
        <v>15</v>
      </c>
      <c r="D237" t="s">
        <v>95</v>
      </c>
      <c r="E237" t="s">
        <v>96</v>
      </c>
      <c r="F237" t="s">
        <v>434</v>
      </c>
      <c r="G237">
        <v>2</v>
      </c>
      <c r="H237" t="s">
        <v>14</v>
      </c>
      <c r="I237" t="s">
        <v>133</v>
      </c>
      <c r="J237" t="s">
        <v>151</v>
      </c>
      <c r="K237" t="s">
        <v>152</v>
      </c>
      <c r="L237" t="s">
        <v>153</v>
      </c>
      <c r="M237" t="s">
        <v>154</v>
      </c>
      <c r="N237" t="s">
        <v>419</v>
      </c>
      <c r="O237">
        <v>2</v>
      </c>
      <c r="P237" t="s">
        <v>18</v>
      </c>
      <c r="Q237">
        <f>ABS(Table1[[#This Row],[Rate]]-Table1[[#This Row],[AI RATE]])</f>
        <v>0</v>
      </c>
      <c r="R237">
        <f>IF(Table1[[#This Row],[NEW RATING2]]&gt;0, Table1[[#This Row],[NEW RATING2]],Table1[[#This Row],[Rate]])</f>
        <v>2</v>
      </c>
      <c r="S237">
        <f>IF(Table1[[#This Row],[Rate]] =Table1[[#This Row],[AI RATE]],1, 0)</f>
        <v>1</v>
      </c>
    </row>
    <row r="238" spans="1:20" x14ac:dyDescent="0.35">
      <c r="A238">
        <v>2021</v>
      </c>
      <c r="B238">
        <v>16</v>
      </c>
      <c r="C238">
        <v>16</v>
      </c>
      <c r="D238" t="s">
        <v>38</v>
      </c>
      <c r="E238" t="s">
        <v>39</v>
      </c>
      <c r="F238" t="s">
        <v>435</v>
      </c>
      <c r="G238">
        <v>2</v>
      </c>
      <c r="H238" t="s">
        <v>123</v>
      </c>
      <c r="I238" t="s">
        <v>436</v>
      </c>
      <c r="J238" t="s">
        <v>603</v>
      </c>
      <c r="K238" t="s">
        <v>172</v>
      </c>
      <c r="L238" t="s">
        <v>16</v>
      </c>
      <c r="M238" t="s">
        <v>17</v>
      </c>
      <c r="O238">
        <v>2</v>
      </c>
      <c r="P238" t="s">
        <v>18</v>
      </c>
      <c r="Q238">
        <f>ABS(Table1[[#This Row],[Rate]]-Table1[[#This Row],[AI RATE]])</f>
        <v>0</v>
      </c>
      <c r="R238">
        <f>IF(Table1[[#This Row],[NEW RATING2]]&gt;0, Table1[[#This Row],[NEW RATING2]],Table1[[#This Row],[Rate]])</f>
        <v>2</v>
      </c>
      <c r="S238">
        <f>IF(Table1[[#This Row],[Rate]] =Table1[[#This Row],[AI RATE]],1, 0)</f>
        <v>1</v>
      </c>
    </row>
    <row r="239" spans="1:20" x14ac:dyDescent="0.35">
      <c r="A239">
        <v>2021</v>
      </c>
      <c r="B239">
        <v>17</v>
      </c>
      <c r="C239">
        <v>17</v>
      </c>
      <c r="D239" t="s">
        <v>394</v>
      </c>
      <c r="E239" t="s">
        <v>395</v>
      </c>
      <c r="F239" t="s">
        <v>437</v>
      </c>
      <c r="G239">
        <v>1</v>
      </c>
      <c r="H239" t="s">
        <v>55</v>
      </c>
      <c r="I239" t="s">
        <v>133</v>
      </c>
      <c r="J239" t="s">
        <v>603</v>
      </c>
      <c r="K239" t="s">
        <v>172</v>
      </c>
      <c r="L239" t="s">
        <v>16</v>
      </c>
      <c r="M239" t="s">
        <v>17</v>
      </c>
      <c r="O239">
        <v>1</v>
      </c>
      <c r="P239" t="s">
        <v>18</v>
      </c>
      <c r="Q239">
        <f>ABS(Table1[[#This Row],[Rate]]-Table1[[#This Row],[AI RATE]])</f>
        <v>0</v>
      </c>
      <c r="R239">
        <f>IF(Table1[[#This Row],[NEW RATING2]]&gt;0, Table1[[#This Row],[NEW RATING2]],Table1[[#This Row],[Rate]])</f>
        <v>1</v>
      </c>
      <c r="S239">
        <f>IF(Table1[[#This Row],[Rate]] =Table1[[#This Row],[AI RATE]],1, 0)</f>
        <v>1</v>
      </c>
    </row>
    <row r="240" spans="1:20" x14ac:dyDescent="0.35">
      <c r="A240">
        <v>2021</v>
      </c>
      <c r="B240">
        <v>18</v>
      </c>
      <c r="C240">
        <v>18</v>
      </c>
      <c r="D240" t="s">
        <v>19</v>
      </c>
      <c r="E240" t="s">
        <v>20</v>
      </c>
      <c r="F240" t="s">
        <v>438</v>
      </c>
      <c r="G240">
        <v>4</v>
      </c>
      <c r="H240" t="s">
        <v>48</v>
      </c>
      <c r="I240" t="s">
        <v>114</v>
      </c>
      <c r="J240" t="s">
        <v>603</v>
      </c>
      <c r="K240" t="s">
        <v>172</v>
      </c>
      <c r="L240" t="s">
        <v>16</v>
      </c>
      <c r="M240" t="s">
        <v>17</v>
      </c>
      <c r="O240">
        <v>3</v>
      </c>
      <c r="P240" t="s">
        <v>18</v>
      </c>
      <c r="Q240">
        <f>ABS(Table1[[#This Row],[Rate]]-Table1[[#This Row],[AI RATE]])</f>
        <v>1</v>
      </c>
      <c r="R240">
        <f>IF(Table1[[#This Row],[NEW RATING2]]&gt;0, Table1[[#This Row],[NEW RATING2]],Table1[[#This Row],[Rate]])</f>
        <v>4</v>
      </c>
      <c r="S240">
        <f>IF(Table1[[#This Row],[Rate]] =Table1[[#This Row],[AI RATE]],1, 0)</f>
        <v>0</v>
      </c>
    </row>
    <row r="241" spans="1:19" x14ac:dyDescent="0.35">
      <c r="A241">
        <v>2021</v>
      </c>
      <c r="B241">
        <v>19</v>
      </c>
      <c r="C241">
        <v>19</v>
      </c>
      <c r="D241" t="s">
        <v>143</v>
      </c>
      <c r="E241" t="s">
        <v>41</v>
      </c>
      <c r="F241" t="s">
        <v>439</v>
      </c>
      <c r="G241">
        <v>2</v>
      </c>
      <c r="H241" t="s">
        <v>140</v>
      </c>
      <c r="I241" t="s">
        <v>224</v>
      </c>
      <c r="J241" t="s">
        <v>603</v>
      </c>
      <c r="K241" t="s">
        <v>172</v>
      </c>
      <c r="L241" t="s">
        <v>16</v>
      </c>
      <c r="M241" t="s">
        <v>17</v>
      </c>
      <c r="O241">
        <v>2</v>
      </c>
      <c r="P241" t="s">
        <v>18</v>
      </c>
      <c r="Q241">
        <f>ABS(Table1[[#This Row],[Rate]]-Table1[[#This Row],[AI RATE]])</f>
        <v>0</v>
      </c>
      <c r="R241">
        <f>IF(Table1[[#This Row],[NEW RATING2]]&gt;0, Table1[[#This Row],[NEW RATING2]],Table1[[#This Row],[Rate]])</f>
        <v>2</v>
      </c>
      <c r="S241">
        <f>IF(Table1[[#This Row],[Rate]] =Table1[[#This Row],[AI RATE]],1, 0)</f>
        <v>1</v>
      </c>
    </row>
    <row r="242" spans="1:19" x14ac:dyDescent="0.35">
      <c r="A242">
        <v>2021</v>
      </c>
      <c r="B242">
        <v>20</v>
      </c>
      <c r="C242">
        <v>20</v>
      </c>
      <c r="D242" t="s">
        <v>115</v>
      </c>
      <c r="E242" t="s">
        <v>116</v>
      </c>
      <c r="F242" t="s">
        <v>440</v>
      </c>
      <c r="G242">
        <v>2</v>
      </c>
      <c r="H242" t="s">
        <v>25</v>
      </c>
      <c r="I242" t="s">
        <v>120</v>
      </c>
      <c r="J242" t="s">
        <v>603</v>
      </c>
      <c r="K242" t="s">
        <v>172</v>
      </c>
      <c r="L242" t="s">
        <v>16</v>
      </c>
      <c r="M242" t="s">
        <v>17</v>
      </c>
      <c r="O242">
        <v>1</v>
      </c>
      <c r="P242" t="s">
        <v>18</v>
      </c>
      <c r="Q242">
        <f>ABS(Table1[[#This Row],[Rate]]-Table1[[#This Row],[AI RATE]])</f>
        <v>1</v>
      </c>
      <c r="R242">
        <f>IF(Table1[[#This Row],[NEW RATING2]]&gt;0, Table1[[#This Row],[NEW RATING2]],Table1[[#This Row],[Rate]])</f>
        <v>2</v>
      </c>
      <c r="S242">
        <f>IF(Table1[[#This Row],[Rate]] =Table1[[#This Row],[AI RATE]],1, 0)</f>
        <v>0</v>
      </c>
    </row>
    <row r="243" spans="1:19" x14ac:dyDescent="0.35">
      <c r="A243">
        <v>2021</v>
      </c>
      <c r="B243">
        <v>21</v>
      </c>
      <c r="C243">
        <v>21</v>
      </c>
      <c r="D243" t="s">
        <v>88</v>
      </c>
      <c r="E243" t="s">
        <v>89</v>
      </c>
      <c r="F243" t="s">
        <v>441</v>
      </c>
      <c r="G243">
        <v>2</v>
      </c>
      <c r="H243" t="s">
        <v>48</v>
      </c>
      <c r="I243" t="s">
        <v>26</v>
      </c>
      <c r="J243" t="s">
        <v>603</v>
      </c>
      <c r="K243" t="s">
        <v>172</v>
      </c>
      <c r="L243" t="s">
        <v>16</v>
      </c>
      <c r="M243" t="s">
        <v>17</v>
      </c>
      <c r="O243">
        <v>3</v>
      </c>
      <c r="P243" t="s">
        <v>18</v>
      </c>
      <c r="Q243">
        <f>ABS(Table1[[#This Row],[Rate]]-Table1[[#This Row],[AI RATE]])</f>
        <v>1</v>
      </c>
      <c r="R243">
        <f>IF(Table1[[#This Row],[NEW RATING2]]&gt;0, Table1[[#This Row],[NEW RATING2]],Table1[[#This Row],[Rate]])</f>
        <v>2</v>
      </c>
      <c r="S243">
        <f>IF(Table1[[#This Row],[Rate]] =Table1[[#This Row],[AI RATE]],1, 0)</f>
        <v>0</v>
      </c>
    </row>
    <row r="244" spans="1:19" x14ac:dyDescent="0.35">
      <c r="A244">
        <v>2021</v>
      </c>
      <c r="B244">
        <v>22</v>
      </c>
      <c r="C244">
        <v>22</v>
      </c>
      <c r="D244" t="s">
        <v>32</v>
      </c>
      <c r="E244" t="s">
        <v>33</v>
      </c>
      <c r="F244" t="s">
        <v>442</v>
      </c>
      <c r="G244">
        <v>1</v>
      </c>
      <c r="H244" t="s">
        <v>124</v>
      </c>
      <c r="I244" t="s">
        <v>127</v>
      </c>
      <c r="J244" t="s">
        <v>151</v>
      </c>
      <c r="K244" t="s">
        <v>152</v>
      </c>
      <c r="L244" t="s">
        <v>153</v>
      </c>
      <c r="M244" t="s">
        <v>154</v>
      </c>
      <c r="N244" t="s">
        <v>419</v>
      </c>
      <c r="O244">
        <v>1</v>
      </c>
      <c r="P244" t="s">
        <v>18</v>
      </c>
      <c r="Q244">
        <f>ABS(Table1[[#This Row],[Rate]]-Table1[[#This Row],[AI RATE]])</f>
        <v>0</v>
      </c>
      <c r="R244">
        <f>IF(Table1[[#This Row],[NEW RATING2]]&gt;0, Table1[[#This Row],[NEW RATING2]],Table1[[#This Row],[Rate]])</f>
        <v>1</v>
      </c>
      <c r="S244">
        <f>IF(Table1[[#This Row],[Rate]] =Table1[[#This Row],[AI RATE]],1, 0)</f>
        <v>1</v>
      </c>
    </row>
    <row r="245" spans="1:19" x14ac:dyDescent="0.35">
      <c r="A245">
        <v>2021</v>
      </c>
      <c r="B245">
        <v>23</v>
      </c>
      <c r="C245">
        <v>23</v>
      </c>
      <c r="D245" t="s">
        <v>35</v>
      </c>
      <c r="E245" t="s">
        <v>36</v>
      </c>
      <c r="F245" t="s">
        <v>443</v>
      </c>
      <c r="G245">
        <v>4</v>
      </c>
      <c r="H245" t="s">
        <v>55</v>
      </c>
      <c r="I245" t="s">
        <v>127</v>
      </c>
      <c r="J245" t="s">
        <v>603</v>
      </c>
      <c r="K245" t="s">
        <v>426</v>
      </c>
      <c r="L245" t="s">
        <v>199</v>
      </c>
      <c r="M245" t="s">
        <v>154</v>
      </c>
      <c r="N245" t="s">
        <v>419</v>
      </c>
      <c r="O245">
        <v>4</v>
      </c>
      <c r="P245" t="s">
        <v>18</v>
      </c>
      <c r="Q245">
        <f>ABS(Table1[[#This Row],[Rate]]-Table1[[#This Row],[AI RATE]])</f>
        <v>0</v>
      </c>
      <c r="R245">
        <f>IF(Table1[[#This Row],[NEW RATING2]]&gt;0, Table1[[#This Row],[NEW RATING2]],Table1[[#This Row],[Rate]])</f>
        <v>4</v>
      </c>
      <c r="S245">
        <f>IF(Table1[[#This Row],[Rate]] =Table1[[#This Row],[AI RATE]],1, 0)</f>
        <v>1</v>
      </c>
    </row>
    <row r="246" spans="1:19" x14ac:dyDescent="0.35">
      <c r="A246">
        <v>2021</v>
      </c>
      <c r="B246">
        <v>24</v>
      </c>
      <c r="C246">
        <v>24</v>
      </c>
      <c r="D246" t="s">
        <v>90</v>
      </c>
      <c r="E246" t="s">
        <v>91</v>
      </c>
      <c r="F246" t="s">
        <v>444</v>
      </c>
      <c r="G246">
        <v>3</v>
      </c>
      <c r="H246" t="s">
        <v>21</v>
      </c>
      <c r="I246" t="s">
        <v>133</v>
      </c>
      <c r="J246" t="s">
        <v>603</v>
      </c>
      <c r="K246" t="s">
        <v>426</v>
      </c>
      <c r="L246" t="s">
        <v>199</v>
      </c>
      <c r="M246" t="s">
        <v>154</v>
      </c>
      <c r="N246" t="s">
        <v>419</v>
      </c>
      <c r="O246">
        <v>3</v>
      </c>
      <c r="P246" t="s">
        <v>18</v>
      </c>
      <c r="Q246">
        <f>ABS(Table1[[#This Row],[Rate]]-Table1[[#This Row],[AI RATE]])</f>
        <v>0</v>
      </c>
      <c r="R246">
        <f>IF(Table1[[#This Row],[NEW RATING2]]&gt;0, Table1[[#This Row],[NEW RATING2]],Table1[[#This Row],[Rate]])</f>
        <v>3</v>
      </c>
      <c r="S246">
        <f>IF(Table1[[#This Row],[Rate]] =Table1[[#This Row],[AI RATE]],1, 0)</f>
        <v>1</v>
      </c>
    </row>
    <row r="247" spans="1:19" x14ac:dyDescent="0.35">
      <c r="A247">
        <v>2021</v>
      </c>
      <c r="B247">
        <v>25</v>
      </c>
      <c r="C247">
        <v>25</v>
      </c>
      <c r="D247" t="s">
        <v>71</v>
      </c>
      <c r="E247" t="s">
        <v>72</v>
      </c>
      <c r="F247" t="s">
        <v>445</v>
      </c>
      <c r="G247">
        <v>3</v>
      </c>
      <c r="H247" t="s">
        <v>21</v>
      </c>
      <c r="I247" t="s">
        <v>107</v>
      </c>
      <c r="J247" t="s">
        <v>603</v>
      </c>
      <c r="K247" t="s">
        <v>426</v>
      </c>
      <c r="L247" t="s">
        <v>199</v>
      </c>
      <c r="M247" t="s">
        <v>154</v>
      </c>
      <c r="N247" t="s">
        <v>419</v>
      </c>
      <c r="O247">
        <v>3</v>
      </c>
      <c r="P247" t="s">
        <v>18</v>
      </c>
      <c r="Q247">
        <f>ABS(Table1[[#This Row],[Rate]]-Table1[[#This Row],[AI RATE]])</f>
        <v>0</v>
      </c>
      <c r="R247">
        <f>IF(Table1[[#This Row],[NEW RATING2]]&gt;0, Table1[[#This Row],[NEW RATING2]],Table1[[#This Row],[Rate]])</f>
        <v>3</v>
      </c>
      <c r="S247">
        <f>IF(Table1[[#This Row],[Rate]] =Table1[[#This Row],[AI RATE]],1, 0)</f>
        <v>1</v>
      </c>
    </row>
    <row r="248" spans="1:19" x14ac:dyDescent="0.35">
      <c r="A248">
        <v>2021</v>
      </c>
      <c r="B248">
        <v>26</v>
      </c>
      <c r="C248">
        <v>26</v>
      </c>
      <c r="D248" t="s">
        <v>23</v>
      </c>
      <c r="E248" t="s">
        <v>24</v>
      </c>
      <c r="F248" t="s">
        <v>446</v>
      </c>
      <c r="G248">
        <v>2</v>
      </c>
      <c r="H248" t="s">
        <v>124</v>
      </c>
      <c r="I248" t="s">
        <v>87</v>
      </c>
      <c r="J248" t="s">
        <v>603</v>
      </c>
      <c r="K248" t="s">
        <v>172</v>
      </c>
      <c r="L248" t="s">
        <v>16</v>
      </c>
      <c r="M248" t="s">
        <v>17</v>
      </c>
      <c r="O248">
        <v>3</v>
      </c>
      <c r="P248" t="s">
        <v>18</v>
      </c>
      <c r="Q248">
        <f>ABS(Table1[[#This Row],[Rate]]-Table1[[#This Row],[AI RATE]])</f>
        <v>1</v>
      </c>
      <c r="R248">
        <f>IF(Table1[[#This Row],[NEW RATING2]]&gt;0, Table1[[#This Row],[NEW RATING2]],Table1[[#This Row],[Rate]])</f>
        <v>2</v>
      </c>
      <c r="S248">
        <f>IF(Table1[[#This Row],[Rate]] =Table1[[#This Row],[AI RATE]],1, 0)</f>
        <v>0</v>
      </c>
    </row>
    <row r="249" spans="1:19" x14ac:dyDescent="0.35">
      <c r="A249">
        <v>2021</v>
      </c>
      <c r="B249">
        <v>27</v>
      </c>
      <c r="C249">
        <v>27</v>
      </c>
      <c r="D249" t="s">
        <v>74</v>
      </c>
      <c r="E249" t="s">
        <v>75</v>
      </c>
      <c r="F249" t="s">
        <v>447</v>
      </c>
      <c r="G249">
        <v>3</v>
      </c>
      <c r="H249" t="s">
        <v>25</v>
      </c>
      <c r="I249" t="s">
        <v>111</v>
      </c>
      <c r="J249" t="s">
        <v>603</v>
      </c>
      <c r="K249" t="s">
        <v>172</v>
      </c>
      <c r="L249" t="s">
        <v>16</v>
      </c>
      <c r="M249" t="s">
        <v>17</v>
      </c>
      <c r="O249">
        <v>2</v>
      </c>
      <c r="P249" t="s">
        <v>18</v>
      </c>
      <c r="Q249">
        <f>ABS(Table1[[#This Row],[Rate]]-Table1[[#This Row],[AI RATE]])</f>
        <v>1</v>
      </c>
      <c r="R249">
        <f>IF(Table1[[#This Row],[NEW RATING2]]&gt;0, Table1[[#This Row],[NEW RATING2]],Table1[[#This Row],[Rate]])</f>
        <v>3</v>
      </c>
      <c r="S249">
        <f>IF(Table1[[#This Row],[Rate]] =Table1[[#This Row],[AI RATE]],1, 0)</f>
        <v>0</v>
      </c>
    </row>
    <row r="250" spans="1:19" x14ac:dyDescent="0.35">
      <c r="A250">
        <v>2021</v>
      </c>
      <c r="B250">
        <v>28</v>
      </c>
      <c r="C250">
        <v>28</v>
      </c>
      <c r="D250" t="s">
        <v>53</v>
      </c>
      <c r="E250" t="s">
        <v>54</v>
      </c>
      <c r="F250" t="s">
        <v>448</v>
      </c>
      <c r="G250">
        <v>2</v>
      </c>
      <c r="H250" t="s">
        <v>48</v>
      </c>
      <c r="I250" t="s">
        <v>149</v>
      </c>
      <c r="J250" t="s">
        <v>603</v>
      </c>
      <c r="K250" t="s">
        <v>172</v>
      </c>
      <c r="L250" t="s">
        <v>16</v>
      </c>
      <c r="M250" t="s">
        <v>17</v>
      </c>
      <c r="O250">
        <v>1</v>
      </c>
      <c r="P250" t="s">
        <v>18</v>
      </c>
      <c r="Q250">
        <f>ABS(Table1[[#This Row],[Rate]]-Table1[[#This Row],[AI RATE]])</f>
        <v>1</v>
      </c>
      <c r="R250">
        <f>IF(Table1[[#This Row],[NEW RATING2]]&gt;0, Table1[[#This Row],[NEW RATING2]],Table1[[#This Row],[Rate]])</f>
        <v>2</v>
      </c>
      <c r="S250">
        <f>IF(Table1[[#This Row],[Rate]] =Table1[[#This Row],[AI RATE]],1, 0)</f>
        <v>0</v>
      </c>
    </row>
    <row r="251" spans="1:19" x14ac:dyDescent="0.35">
      <c r="A251">
        <v>2021</v>
      </c>
      <c r="B251">
        <v>29</v>
      </c>
      <c r="C251">
        <v>29</v>
      </c>
      <c r="D251" t="s">
        <v>78</v>
      </c>
      <c r="E251" t="s">
        <v>79</v>
      </c>
      <c r="F251" t="s">
        <v>449</v>
      </c>
      <c r="G251">
        <v>3</v>
      </c>
      <c r="H251" t="s">
        <v>124</v>
      </c>
      <c r="I251" t="s">
        <v>59</v>
      </c>
      <c r="J251" t="s">
        <v>603</v>
      </c>
      <c r="K251" t="s">
        <v>172</v>
      </c>
      <c r="L251" t="s">
        <v>16</v>
      </c>
      <c r="M251" t="s">
        <v>17</v>
      </c>
      <c r="O251">
        <v>2</v>
      </c>
      <c r="P251" t="s">
        <v>18</v>
      </c>
      <c r="Q251">
        <f>ABS(Table1[[#This Row],[Rate]]-Table1[[#This Row],[AI RATE]])</f>
        <v>1</v>
      </c>
      <c r="R251">
        <f>IF(Table1[[#This Row],[NEW RATING2]]&gt;0, Table1[[#This Row],[NEW RATING2]],Table1[[#This Row],[Rate]])</f>
        <v>3</v>
      </c>
      <c r="S251">
        <f>IF(Table1[[#This Row],[Rate]] =Table1[[#This Row],[AI RATE]],1, 0)</f>
        <v>0</v>
      </c>
    </row>
    <row r="252" spans="1:19" x14ac:dyDescent="0.35">
      <c r="A252">
        <v>2021</v>
      </c>
      <c r="B252">
        <v>30</v>
      </c>
      <c r="C252">
        <v>30</v>
      </c>
      <c r="D252" t="s">
        <v>102</v>
      </c>
      <c r="E252" t="s">
        <v>103</v>
      </c>
      <c r="F252" t="s">
        <v>450</v>
      </c>
      <c r="G252">
        <v>4</v>
      </c>
      <c r="H252" t="s">
        <v>48</v>
      </c>
      <c r="I252" t="s">
        <v>114</v>
      </c>
      <c r="J252" t="s">
        <v>151</v>
      </c>
      <c r="K252" t="s">
        <v>152</v>
      </c>
      <c r="L252" t="s">
        <v>153</v>
      </c>
      <c r="M252" t="s">
        <v>154</v>
      </c>
      <c r="N252" t="s">
        <v>419</v>
      </c>
      <c r="O252">
        <v>4</v>
      </c>
      <c r="P252" t="s">
        <v>18</v>
      </c>
      <c r="Q252">
        <f>ABS(Table1[[#This Row],[Rate]]-Table1[[#This Row],[AI RATE]])</f>
        <v>0</v>
      </c>
      <c r="R252">
        <f>IF(Table1[[#This Row],[NEW RATING2]]&gt;0, Table1[[#This Row],[NEW RATING2]],Table1[[#This Row],[Rate]])</f>
        <v>4</v>
      </c>
      <c r="S252">
        <f>IF(Table1[[#This Row],[Rate]] =Table1[[#This Row],[AI RATE]],1, 0)</f>
        <v>1</v>
      </c>
    </row>
    <row r="253" spans="1:19" x14ac:dyDescent="0.35">
      <c r="A253">
        <v>2021</v>
      </c>
      <c r="B253">
        <v>31</v>
      </c>
      <c r="C253">
        <v>31</v>
      </c>
      <c r="D253" t="s">
        <v>74</v>
      </c>
      <c r="E253" t="s">
        <v>75</v>
      </c>
      <c r="F253" t="s">
        <v>451</v>
      </c>
      <c r="G253">
        <v>3</v>
      </c>
      <c r="H253" t="s">
        <v>123</v>
      </c>
      <c r="I253" t="s">
        <v>110</v>
      </c>
      <c r="J253" t="s">
        <v>603</v>
      </c>
      <c r="K253" t="s">
        <v>172</v>
      </c>
      <c r="L253" t="s">
        <v>16</v>
      </c>
      <c r="M253" t="s">
        <v>17</v>
      </c>
      <c r="O253">
        <v>3</v>
      </c>
      <c r="P253" t="s">
        <v>18</v>
      </c>
      <c r="Q253">
        <f>ABS(Table1[[#This Row],[Rate]]-Table1[[#This Row],[AI RATE]])</f>
        <v>0</v>
      </c>
      <c r="R253">
        <f>IF(Table1[[#This Row],[NEW RATING2]]&gt;0, Table1[[#This Row],[NEW RATING2]],Table1[[#This Row],[Rate]])</f>
        <v>3</v>
      </c>
      <c r="S253">
        <f>IF(Table1[[#This Row],[Rate]] =Table1[[#This Row],[AI RATE]],1, 0)</f>
        <v>1</v>
      </c>
    </row>
    <row r="254" spans="1:19" x14ac:dyDescent="0.35">
      <c r="A254">
        <v>2021</v>
      </c>
      <c r="B254">
        <v>32</v>
      </c>
      <c r="C254">
        <v>32</v>
      </c>
      <c r="D254" t="s">
        <v>30</v>
      </c>
      <c r="E254" t="s">
        <v>31</v>
      </c>
      <c r="F254" t="s">
        <v>452</v>
      </c>
      <c r="G254">
        <v>3</v>
      </c>
      <c r="H254" t="s">
        <v>123</v>
      </c>
      <c r="I254" t="s">
        <v>143</v>
      </c>
      <c r="J254" t="s">
        <v>603</v>
      </c>
      <c r="K254" t="s">
        <v>172</v>
      </c>
      <c r="L254" t="s">
        <v>16</v>
      </c>
      <c r="M254" t="s">
        <v>17</v>
      </c>
      <c r="O254">
        <v>2</v>
      </c>
      <c r="P254" t="s">
        <v>18</v>
      </c>
      <c r="Q254">
        <f>ABS(Table1[[#This Row],[Rate]]-Table1[[#This Row],[AI RATE]])</f>
        <v>1</v>
      </c>
      <c r="R254">
        <f>IF(Table1[[#This Row],[NEW RATING2]]&gt;0, Table1[[#This Row],[NEW RATING2]],Table1[[#This Row],[Rate]])</f>
        <v>3</v>
      </c>
      <c r="S254">
        <f>IF(Table1[[#This Row],[Rate]] =Table1[[#This Row],[AI RATE]],1, 0)</f>
        <v>0</v>
      </c>
    </row>
    <row r="255" spans="1:19" x14ac:dyDescent="0.35">
      <c r="A255">
        <v>2022</v>
      </c>
      <c r="B255">
        <v>1</v>
      </c>
      <c r="C255">
        <v>1</v>
      </c>
      <c r="D255" t="s">
        <v>71</v>
      </c>
      <c r="F255" t="s">
        <v>453</v>
      </c>
      <c r="G255">
        <v>3</v>
      </c>
      <c r="H255" t="s">
        <v>454</v>
      </c>
      <c r="I255" t="s">
        <v>59</v>
      </c>
      <c r="J255" t="s">
        <v>603</v>
      </c>
      <c r="K255" t="s">
        <v>172</v>
      </c>
      <c r="L255" t="s">
        <v>16</v>
      </c>
      <c r="M255" t="s">
        <v>17</v>
      </c>
      <c r="O255">
        <v>4</v>
      </c>
      <c r="P255" t="s">
        <v>455</v>
      </c>
      <c r="Q255">
        <f>ABS(Table1[[#This Row],[Rate]]-Table1[[#This Row],[AI RATE]])</f>
        <v>1</v>
      </c>
      <c r="R255">
        <f>IF(Table1[[#This Row],[NEW RATING2]]&gt;0, Table1[[#This Row],[NEW RATING2]],Table1[[#This Row],[Rate]])</f>
        <v>3</v>
      </c>
      <c r="S255">
        <f>IF(Table1[[#This Row],[Rate]] =Table1[[#This Row],[AI RATE]],1, 0)</f>
        <v>0</v>
      </c>
    </row>
    <row r="256" spans="1:19" x14ac:dyDescent="0.35">
      <c r="A256">
        <v>2022</v>
      </c>
      <c r="B256">
        <v>2</v>
      </c>
      <c r="C256">
        <v>2</v>
      </c>
      <c r="D256" t="s">
        <v>42</v>
      </c>
      <c r="F256" t="s">
        <v>456</v>
      </c>
      <c r="G256">
        <v>5</v>
      </c>
      <c r="H256" t="s">
        <v>454</v>
      </c>
      <c r="I256" t="s">
        <v>26</v>
      </c>
      <c r="J256" t="s">
        <v>151</v>
      </c>
      <c r="K256" t="s">
        <v>152</v>
      </c>
      <c r="L256" t="s">
        <v>153</v>
      </c>
      <c r="M256" t="s">
        <v>154</v>
      </c>
      <c r="N256" t="s">
        <v>457</v>
      </c>
      <c r="O256">
        <v>5</v>
      </c>
      <c r="P256" t="s">
        <v>455</v>
      </c>
      <c r="Q256">
        <f>ABS(Table1[[#This Row],[Rate]]-Table1[[#This Row],[AI RATE]])</f>
        <v>0</v>
      </c>
      <c r="R256">
        <f>IF(Table1[[#This Row],[NEW RATING2]]&gt;0, Table1[[#This Row],[NEW RATING2]],Table1[[#This Row],[Rate]])</f>
        <v>5</v>
      </c>
      <c r="S256">
        <f>IF(Table1[[#This Row],[Rate]] =Table1[[#This Row],[AI RATE]],1, 0)</f>
        <v>1</v>
      </c>
    </row>
    <row r="257" spans="1:20" x14ac:dyDescent="0.35">
      <c r="A257">
        <v>2022</v>
      </c>
      <c r="B257">
        <v>3</v>
      </c>
      <c r="C257">
        <v>3</v>
      </c>
      <c r="D257" t="s">
        <v>62</v>
      </c>
      <c r="F257" t="s">
        <v>458</v>
      </c>
      <c r="G257">
        <v>5</v>
      </c>
      <c r="H257" t="s">
        <v>124</v>
      </c>
      <c r="I257" t="s">
        <v>70</v>
      </c>
      <c r="J257" t="s">
        <v>603</v>
      </c>
      <c r="K257" t="s">
        <v>172</v>
      </c>
      <c r="L257" t="s">
        <v>16</v>
      </c>
      <c r="M257" t="s">
        <v>17</v>
      </c>
      <c r="O257">
        <v>4</v>
      </c>
      <c r="P257" t="s">
        <v>455</v>
      </c>
      <c r="Q257">
        <f>ABS(Table1[[#This Row],[Rate]]-Table1[[#This Row],[AI RATE]])</f>
        <v>1</v>
      </c>
      <c r="R257">
        <f>IF(Table1[[#This Row],[NEW RATING2]]&gt;0, Table1[[#This Row],[NEW RATING2]],Table1[[#This Row],[Rate]])</f>
        <v>5</v>
      </c>
      <c r="S257">
        <f>IF(Table1[[#This Row],[Rate]] =Table1[[#This Row],[AI RATE]],1, 0)</f>
        <v>0</v>
      </c>
    </row>
    <row r="258" spans="1:20" x14ac:dyDescent="0.35">
      <c r="A258">
        <v>2022</v>
      </c>
      <c r="B258">
        <v>4</v>
      </c>
      <c r="C258">
        <v>4</v>
      </c>
      <c r="D258" t="s">
        <v>99</v>
      </c>
      <c r="F258" t="s">
        <v>459</v>
      </c>
      <c r="G258">
        <v>5</v>
      </c>
      <c r="H258" t="s">
        <v>124</v>
      </c>
      <c r="I258" t="s">
        <v>460</v>
      </c>
      <c r="J258" t="s">
        <v>151</v>
      </c>
      <c r="K258" t="s">
        <v>152</v>
      </c>
      <c r="L258" t="s">
        <v>153</v>
      </c>
      <c r="M258" t="s">
        <v>154</v>
      </c>
      <c r="N258" t="s">
        <v>457</v>
      </c>
      <c r="O258">
        <v>5</v>
      </c>
      <c r="P258" t="s">
        <v>455</v>
      </c>
      <c r="Q258">
        <f>ABS(Table1[[#This Row],[Rate]]-Table1[[#This Row],[AI RATE]])</f>
        <v>0</v>
      </c>
      <c r="R258">
        <f>IF(Table1[[#This Row],[NEW RATING2]]&gt;0, Table1[[#This Row],[NEW RATING2]],Table1[[#This Row],[Rate]])</f>
        <v>5</v>
      </c>
      <c r="S258">
        <f>IF(Table1[[#This Row],[Rate]] =Table1[[#This Row],[AI RATE]],1, 0)</f>
        <v>1</v>
      </c>
    </row>
    <row r="259" spans="1:20" x14ac:dyDescent="0.35">
      <c r="A259">
        <v>2022</v>
      </c>
      <c r="B259">
        <v>5</v>
      </c>
      <c r="C259">
        <v>5</v>
      </c>
      <c r="D259" t="s">
        <v>115</v>
      </c>
      <c r="F259" t="s">
        <v>461</v>
      </c>
      <c r="G259">
        <v>2</v>
      </c>
      <c r="H259" t="s">
        <v>454</v>
      </c>
      <c r="I259" t="s">
        <v>106</v>
      </c>
      <c r="J259" t="s">
        <v>151</v>
      </c>
      <c r="K259" t="s">
        <v>152</v>
      </c>
      <c r="L259" t="s">
        <v>153</v>
      </c>
      <c r="M259" t="s">
        <v>154</v>
      </c>
      <c r="N259" t="s">
        <v>457</v>
      </c>
      <c r="O259">
        <v>4</v>
      </c>
      <c r="P259" t="s">
        <v>455</v>
      </c>
      <c r="Q259">
        <f>ABS(Table1[[#This Row],[Rate]]-Table1[[#This Row],[AI RATE]])</f>
        <v>2</v>
      </c>
      <c r="R259">
        <f>IF(Table1[[#This Row],[NEW RATING2]]&gt;0, Table1[[#This Row],[NEW RATING2]],Table1[[#This Row],[Rate]])</f>
        <v>3</v>
      </c>
      <c r="S259">
        <f>IF(Table1[[#This Row],[Rate]] =Table1[[#This Row],[AI RATE]],1, 0)</f>
        <v>0</v>
      </c>
      <c r="T259">
        <v>3</v>
      </c>
    </row>
    <row r="260" spans="1:20" x14ac:dyDescent="0.35">
      <c r="A260">
        <v>2022</v>
      </c>
      <c r="B260">
        <v>6</v>
      </c>
      <c r="C260">
        <v>6</v>
      </c>
      <c r="D260" t="s">
        <v>57</v>
      </c>
      <c r="F260" t="s">
        <v>462</v>
      </c>
      <c r="G260">
        <v>3</v>
      </c>
      <c r="H260" t="s">
        <v>55</v>
      </c>
      <c r="I260" t="s">
        <v>98</v>
      </c>
      <c r="J260" t="s">
        <v>603</v>
      </c>
      <c r="K260" t="s">
        <v>172</v>
      </c>
      <c r="L260" t="s">
        <v>16</v>
      </c>
      <c r="M260" t="s">
        <v>17</v>
      </c>
      <c r="O260">
        <v>2</v>
      </c>
      <c r="P260" t="s">
        <v>455</v>
      </c>
      <c r="Q260">
        <f>ABS(Table1[[#This Row],[Rate]]-Table1[[#This Row],[AI RATE]])</f>
        <v>1</v>
      </c>
      <c r="R260">
        <f>IF(Table1[[#This Row],[NEW RATING2]]&gt;0, Table1[[#This Row],[NEW RATING2]],Table1[[#This Row],[Rate]])</f>
        <v>3</v>
      </c>
      <c r="S260">
        <f>IF(Table1[[#This Row],[Rate]] =Table1[[#This Row],[AI RATE]],1, 0)</f>
        <v>0</v>
      </c>
    </row>
    <row r="261" spans="1:20" x14ac:dyDescent="0.35">
      <c r="A261">
        <v>2022</v>
      </c>
      <c r="B261">
        <v>7</v>
      </c>
      <c r="C261">
        <v>7</v>
      </c>
      <c r="D261" t="s">
        <v>115</v>
      </c>
      <c r="F261" t="s">
        <v>463</v>
      </c>
      <c r="G261">
        <v>1</v>
      </c>
      <c r="H261" t="s">
        <v>55</v>
      </c>
      <c r="I261" t="s">
        <v>133</v>
      </c>
      <c r="J261" t="s">
        <v>151</v>
      </c>
      <c r="K261" t="s">
        <v>152</v>
      </c>
      <c r="L261" t="s">
        <v>153</v>
      </c>
      <c r="M261" t="s">
        <v>154</v>
      </c>
      <c r="N261" t="s">
        <v>457</v>
      </c>
      <c r="O261">
        <v>1</v>
      </c>
      <c r="P261" t="s">
        <v>455</v>
      </c>
      <c r="Q261">
        <f>ABS(Table1[[#This Row],[Rate]]-Table1[[#This Row],[AI RATE]])</f>
        <v>0</v>
      </c>
      <c r="R261">
        <f>IF(Table1[[#This Row],[NEW RATING2]]&gt;0, Table1[[#This Row],[NEW RATING2]],Table1[[#This Row],[Rate]])</f>
        <v>1</v>
      </c>
      <c r="S261">
        <f>IF(Table1[[#This Row],[Rate]] =Table1[[#This Row],[AI RATE]],1, 0)</f>
        <v>1</v>
      </c>
    </row>
    <row r="262" spans="1:20" x14ac:dyDescent="0.35">
      <c r="A262">
        <v>2022</v>
      </c>
      <c r="B262">
        <v>8</v>
      </c>
      <c r="C262">
        <v>8</v>
      </c>
      <c r="D262" t="s">
        <v>84</v>
      </c>
      <c r="F262" t="s">
        <v>464</v>
      </c>
      <c r="G262">
        <v>4</v>
      </c>
      <c r="H262" t="s">
        <v>25</v>
      </c>
      <c r="I262" t="s">
        <v>45</v>
      </c>
      <c r="J262" t="s">
        <v>151</v>
      </c>
      <c r="K262" t="s">
        <v>152</v>
      </c>
      <c r="L262" t="s">
        <v>153</v>
      </c>
      <c r="M262" t="s">
        <v>154</v>
      </c>
      <c r="N262" t="s">
        <v>457</v>
      </c>
      <c r="O262">
        <v>4</v>
      </c>
      <c r="P262" t="s">
        <v>455</v>
      </c>
      <c r="Q262">
        <f>ABS(Table1[[#This Row],[Rate]]-Table1[[#This Row],[AI RATE]])</f>
        <v>0</v>
      </c>
      <c r="R262">
        <f>IF(Table1[[#This Row],[NEW RATING2]]&gt;0, Table1[[#This Row],[NEW RATING2]],Table1[[#This Row],[Rate]])</f>
        <v>4</v>
      </c>
      <c r="S262">
        <f>IF(Table1[[#This Row],[Rate]] =Table1[[#This Row],[AI RATE]],1, 0)</f>
        <v>1</v>
      </c>
    </row>
    <row r="263" spans="1:20" x14ac:dyDescent="0.35">
      <c r="A263">
        <v>2022</v>
      </c>
      <c r="B263">
        <v>9</v>
      </c>
      <c r="C263">
        <v>9</v>
      </c>
      <c r="D263" t="s">
        <v>81</v>
      </c>
      <c r="F263" t="s">
        <v>465</v>
      </c>
      <c r="G263">
        <v>4</v>
      </c>
      <c r="H263" t="s">
        <v>55</v>
      </c>
      <c r="I263" t="s">
        <v>146</v>
      </c>
      <c r="J263" t="s">
        <v>151</v>
      </c>
      <c r="K263" t="s">
        <v>152</v>
      </c>
      <c r="L263" t="s">
        <v>153</v>
      </c>
      <c r="M263" t="s">
        <v>154</v>
      </c>
      <c r="N263" t="s">
        <v>457</v>
      </c>
      <c r="O263">
        <v>4</v>
      </c>
      <c r="P263" t="s">
        <v>455</v>
      </c>
      <c r="Q263">
        <f>ABS(Table1[[#This Row],[Rate]]-Table1[[#This Row],[AI RATE]])</f>
        <v>0</v>
      </c>
      <c r="R263">
        <f>IF(Table1[[#This Row],[NEW RATING2]]&gt;0, Table1[[#This Row],[NEW RATING2]],Table1[[#This Row],[Rate]])</f>
        <v>4</v>
      </c>
      <c r="S263">
        <f>IF(Table1[[#This Row],[Rate]] =Table1[[#This Row],[AI RATE]],1, 0)</f>
        <v>1</v>
      </c>
    </row>
    <row r="264" spans="1:20" x14ac:dyDescent="0.35">
      <c r="A264">
        <v>2022</v>
      </c>
      <c r="B264">
        <v>10</v>
      </c>
      <c r="C264">
        <v>10</v>
      </c>
      <c r="D264" t="s">
        <v>99</v>
      </c>
      <c r="F264" t="s">
        <v>466</v>
      </c>
      <c r="G264">
        <v>4</v>
      </c>
      <c r="H264" t="s">
        <v>25</v>
      </c>
      <c r="I264" t="s">
        <v>101</v>
      </c>
      <c r="J264" t="s">
        <v>151</v>
      </c>
      <c r="K264" t="s">
        <v>152</v>
      </c>
      <c r="L264" t="s">
        <v>153</v>
      </c>
      <c r="M264" t="s">
        <v>154</v>
      </c>
      <c r="N264" t="s">
        <v>457</v>
      </c>
      <c r="O264">
        <v>4</v>
      </c>
      <c r="P264" t="s">
        <v>455</v>
      </c>
      <c r="Q264">
        <f>ABS(Table1[[#This Row],[Rate]]-Table1[[#This Row],[AI RATE]])</f>
        <v>0</v>
      </c>
      <c r="R264">
        <f>IF(Table1[[#This Row],[NEW RATING2]]&gt;0, Table1[[#This Row],[NEW RATING2]],Table1[[#This Row],[Rate]])</f>
        <v>4</v>
      </c>
      <c r="S264">
        <f>IF(Table1[[#This Row],[Rate]] =Table1[[#This Row],[AI RATE]],1, 0)</f>
        <v>1</v>
      </c>
    </row>
    <row r="265" spans="1:20" x14ac:dyDescent="0.35">
      <c r="A265">
        <v>2022</v>
      </c>
      <c r="B265">
        <v>11</v>
      </c>
      <c r="C265">
        <v>11</v>
      </c>
      <c r="D265" t="s">
        <v>53</v>
      </c>
      <c r="F265" t="s">
        <v>467</v>
      </c>
      <c r="G265">
        <v>4</v>
      </c>
      <c r="H265" t="s">
        <v>25</v>
      </c>
      <c r="I265" t="s">
        <v>101</v>
      </c>
      <c r="J265" t="s">
        <v>151</v>
      </c>
      <c r="K265" t="s">
        <v>152</v>
      </c>
      <c r="L265" t="s">
        <v>153</v>
      </c>
      <c r="M265" t="s">
        <v>154</v>
      </c>
      <c r="N265" t="s">
        <v>457</v>
      </c>
      <c r="O265">
        <v>3</v>
      </c>
      <c r="P265" t="s">
        <v>455</v>
      </c>
      <c r="Q265">
        <f>ABS(Table1[[#This Row],[Rate]]-Table1[[#This Row],[AI RATE]])</f>
        <v>1</v>
      </c>
      <c r="R265">
        <f>IF(Table1[[#This Row],[NEW RATING2]]&gt;0, Table1[[#This Row],[NEW RATING2]],Table1[[#This Row],[Rate]])</f>
        <v>4</v>
      </c>
      <c r="S265">
        <f>IF(Table1[[#This Row],[Rate]] =Table1[[#This Row],[AI RATE]],1, 0)</f>
        <v>0</v>
      </c>
    </row>
    <row r="266" spans="1:20" x14ac:dyDescent="0.35">
      <c r="A266">
        <v>2022</v>
      </c>
      <c r="B266">
        <v>12</v>
      </c>
      <c r="C266">
        <v>12</v>
      </c>
      <c r="D266" t="s">
        <v>42</v>
      </c>
      <c r="F266" t="s">
        <v>468</v>
      </c>
      <c r="G266">
        <v>4</v>
      </c>
      <c r="H266" t="s">
        <v>25</v>
      </c>
      <c r="I266" t="s">
        <v>133</v>
      </c>
      <c r="J266" t="s">
        <v>151</v>
      </c>
      <c r="K266" t="s">
        <v>152</v>
      </c>
      <c r="L266" t="s">
        <v>153</v>
      </c>
      <c r="M266" t="s">
        <v>154</v>
      </c>
      <c r="N266" t="s">
        <v>457</v>
      </c>
      <c r="O266">
        <v>2</v>
      </c>
      <c r="P266" t="s">
        <v>455</v>
      </c>
      <c r="Q266">
        <f>ABS(Table1[[#This Row],[Rate]]-Table1[[#This Row],[AI RATE]])</f>
        <v>2</v>
      </c>
      <c r="R266">
        <f>IF(Table1[[#This Row],[NEW RATING2]]&gt;0, Table1[[#This Row],[NEW RATING2]],Table1[[#This Row],[Rate]])</f>
        <v>3</v>
      </c>
      <c r="S266">
        <f>IF(Table1[[#This Row],[Rate]] =Table1[[#This Row],[AI RATE]],1, 0)</f>
        <v>0</v>
      </c>
      <c r="T266">
        <v>3</v>
      </c>
    </row>
    <row r="267" spans="1:20" x14ac:dyDescent="0.35">
      <c r="A267">
        <v>2022</v>
      </c>
      <c r="B267">
        <v>13</v>
      </c>
      <c r="C267">
        <v>13</v>
      </c>
      <c r="D267" t="s">
        <v>93</v>
      </c>
      <c r="F267" t="s">
        <v>469</v>
      </c>
      <c r="G267">
        <v>3</v>
      </c>
      <c r="H267" t="s">
        <v>86</v>
      </c>
      <c r="I267" t="s">
        <v>59</v>
      </c>
      <c r="J267" t="s">
        <v>151</v>
      </c>
      <c r="K267" t="s">
        <v>152</v>
      </c>
      <c r="L267" t="s">
        <v>153</v>
      </c>
      <c r="M267" t="s">
        <v>154</v>
      </c>
      <c r="N267" t="s">
        <v>457</v>
      </c>
      <c r="O267">
        <v>3</v>
      </c>
      <c r="P267" t="s">
        <v>455</v>
      </c>
      <c r="Q267">
        <f>ABS(Table1[[#This Row],[Rate]]-Table1[[#This Row],[AI RATE]])</f>
        <v>0</v>
      </c>
      <c r="R267">
        <f>IF(Table1[[#This Row],[NEW RATING2]]&gt;0, Table1[[#This Row],[NEW RATING2]],Table1[[#This Row],[Rate]])</f>
        <v>3</v>
      </c>
      <c r="S267">
        <f>IF(Table1[[#This Row],[Rate]] =Table1[[#This Row],[AI RATE]],1, 0)</f>
        <v>1</v>
      </c>
    </row>
    <row r="268" spans="1:20" x14ac:dyDescent="0.35">
      <c r="A268">
        <v>2022</v>
      </c>
      <c r="B268">
        <v>14</v>
      </c>
      <c r="C268">
        <v>14</v>
      </c>
      <c r="D268" t="s">
        <v>74</v>
      </c>
      <c r="F268" t="s">
        <v>470</v>
      </c>
      <c r="G268">
        <v>5</v>
      </c>
      <c r="H268" t="s">
        <v>130</v>
      </c>
      <c r="I268" t="s">
        <v>121</v>
      </c>
      <c r="J268" t="s">
        <v>151</v>
      </c>
      <c r="K268" t="s">
        <v>152</v>
      </c>
      <c r="L268" t="s">
        <v>153</v>
      </c>
      <c r="M268" t="s">
        <v>154</v>
      </c>
      <c r="N268" t="s">
        <v>457</v>
      </c>
      <c r="O268">
        <v>5</v>
      </c>
      <c r="P268" t="s">
        <v>455</v>
      </c>
      <c r="Q268">
        <f>ABS(Table1[[#This Row],[Rate]]-Table1[[#This Row],[AI RATE]])</f>
        <v>0</v>
      </c>
      <c r="R268">
        <f>IF(Table1[[#This Row],[NEW RATING2]]&gt;0, Table1[[#This Row],[NEW RATING2]],Table1[[#This Row],[Rate]])</f>
        <v>5</v>
      </c>
      <c r="S268">
        <f>IF(Table1[[#This Row],[Rate]] =Table1[[#This Row],[AI RATE]],1, 0)</f>
        <v>1</v>
      </c>
    </row>
    <row r="269" spans="1:20" x14ac:dyDescent="0.35">
      <c r="A269">
        <v>2022</v>
      </c>
      <c r="B269">
        <v>15</v>
      </c>
      <c r="C269">
        <v>15</v>
      </c>
      <c r="D269" t="s">
        <v>62</v>
      </c>
      <c r="F269" t="s">
        <v>471</v>
      </c>
      <c r="G269">
        <v>3</v>
      </c>
      <c r="H269" t="s">
        <v>97</v>
      </c>
      <c r="I269" t="s">
        <v>142</v>
      </c>
      <c r="J269" t="s">
        <v>603</v>
      </c>
      <c r="K269" t="s">
        <v>172</v>
      </c>
      <c r="L269" t="s">
        <v>16</v>
      </c>
      <c r="M269" t="s">
        <v>17</v>
      </c>
      <c r="O269">
        <v>1</v>
      </c>
      <c r="P269" t="s">
        <v>455</v>
      </c>
      <c r="Q269">
        <f>ABS(Table1[[#This Row],[Rate]]-Table1[[#This Row],[AI RATE]])</f>
        <v>2</v>
      </c>
      <c r="R269">
        <f>IF(Table1[[#This Row],[NEW RATING2]]&gt;0, Table1[[#This Row],[NEW RATING2]],Table1[[#This Row],[Rate]])</f>
        <v>2</v>
      </c>
      <c r="S269">
        <f>IF(Table1[[#This Row],[Rate]] =Table1[[#This Row],[AI RATE]],1, 0)</f>
        <v>0</v>
      </c>
      <c r="T269">
        <v>2</v>
      </c>
    </row>
    <row r="270" spans="1:20" x14ac:dyDescent="0.35">
      <c r="A270">
        <v>2022</v>
      </c>
      <c r="B270">
        <v>16</v>
      </c>
      <c r="C270">
        <v>16</v>
      </c>
      <c r="D270" t="s">
        <v>472</v>
      </c>
      <c r="F270" t="s">
        <v>473</v>
      </c>
      <c r="G270">
        <v>2</v>
      </c>
      <c r="H270" t="s">
        <v>25</v>
      </c>
      <c r="I270" t="s">
        <v>110</v>
      </c>
      <c r="J270" t="s">
        <v>603</v>
      </c>
      <c r="K270" t="s">
        <v>172</v>
      </c>
      <c r="L270" t="s">
        <v>16</v>
      </c>
      <c r="M270" t="s">
        <v>17</v>
      </c>
      <c r="O270">
        <v>2</v>
      </c>
      <c r="P270" t="s">
        <v>455</v>
      </c>
      <c r="Q270">
        <f>ABS(Table1[[#This Row],[Rate]]-Table1[[#This Row],[AI RATE]])</f>
        <v>0</v>
      </c>
      <c r="R270">
        <f>IF(Table1[[#This Row],[NEW RATING2]]&gt;0, Table1[[#This Row],[NEW RATING2]],Table1[[#This Row],[Rate]])</f>
        <v>2</v>
      </c>
      <c r="S270">
        <f>IF(Table1[[#This Row],[Rate]] =Table1[[#This Row],[AI RATE]],1, 0)</f>
        <v>1</v>
      </c>
    </row>
    <row r="271" spans="1:20" x14ac:dyDescent="0.35">
      <c r="A271">
        <v>2022</v>
      </c>
      <c r="B271">
        <v>17</v>
      </c>
      <c r="C271">
        <v>17</v>
      </c>
      <c r="D271" t="s">
        <v>283</v>
      </c>
      <c r="F271" t="s">
        <v>474</v>
      </c>
      <c r="G271">
        <v>2</v>
      </c>
      <c r="H271" t="s">
        <v>97</v>
      </c>
      <c r="I271" t="s">
        <v>117</v>
      </c>
      <c r="J271" t="s">
        <v>151</v>
      </c>
      <c r="K271" t="s">
        <v>152</v>
      </c>
      <c r="L271" t="s">
        <v>153</v>
      </c>
      <c r="M271" t="s">
        <v>154</v>
      </c>
      <c r="N271" t="s">
        <v>457</v>
      </c>
      <c r="O271">
        <v>3</v>
      </c>
      <c r="P271" t="s">
        <v>455</v>
      </c>
      <c r="Q271">
        <f>ABS(Table1[[#This Row],[Rate]]-Table1[[#This Row],[AI RATE]])</f>
        <v>1</v>
      </c>
      <c r="R271">
        <f>IF(Table1[[#This Row],[NEW RATING2]]&gt;0, Table1[[#This Row],[NEW RATING2]],Table1[[#This Row],[Rate]])</f>
        <v>2</v>
      </c>
      <c r="S271">
        <f>IF(Table1[[#This Row],[Rate]] =Table1[[#This Row],[AI RATE]],1, 0)</f>
        <v>0</v>
      </c>
    </row>
    <row r="272" spans="1:20" x14ac:dyDescent="0.35">
      <c r="A272">
        <v>2022</v>
      </c>
      <c r="B272">
        <v>18</v>
      </c>
      <c r="C272">
        <v>18</v>
      </c>
      <c r="D272" t="s">
        <v>32</v>
      </c>
      <c r="F272" t="s">
        <v>475</v>
      </c>
      <c r="G272">
        <v>2</v>
      </c>
      <c r="H272" t="s">
        <v>25</v>
      </c>
      <c r="I272" t="s">
        <v>73</v>
      </c>
      <c r="J272" t="s">
        <v>603</v>
      </c>
      <c r="K272" t="s">
        <v>172</v>
      </c>
      <c r="L272" t="s">
        <v>16</v>
      </c>
      <c r="M272" t="s">
        <v>17</v>
      </c>
      <c r="O272">
        <v>1</v>
      </c>
      <c r="P272" t="s">
        <v>455</v>
      </c>
      <c r="Q272">
        <f>ABS(Table1[[#This Row],[Rate]]-Table1[[#This Row],[AI RATE]])</f>
        <v>1</v>
      </c>
      <c r="R272">
        <f>IF(Table1[[#This Row],[NEW RATING2]]&gt;0, Table1[[#This Row],[NEW RATING2]],Table1[[#This Row],[Rate]])</f>
        <v>2</v>
      </c>
      <c r="S272">
        <f>IF(Table1[[#This Row],[Rate]] =Table1[[#This Row],[AI RATE]],1, 0)</f>
        <v>0</v>
      </c>
    </row>
    <row r="273" spans="1:20" x14ac:dyDescent="0.35">
      <c r="A273">
        <v>2022</v>
      </c>
      <c r="B273">
        <v>19</v>
      </c>
      <c r="C273">
        <v>19</v>
      </c>
      <c r="D273" t="s">
        <v>53</v>
      </c>
      <c r="F273" t="s">
        <v>476</v>
      </c>
      <c r="G273">
        <v>2</v>
      </c>
      <c r="H273" t="s">
        <v>55</v>
      </c>
      <c r="I273" t="s">
        <v>477</v>
      </c>
      <c r="J273" t="s">
        <v>603</v>
      </c>
      <c r="K273" t="s">
        <v>172</v>
      </c>
      <c r="L273" t="s">
        <v>16</v>
      </c>
      <c r="M273" t="s">
        <v>17</v>
      </c>
      <c r="O273">
        <v>1</v>
      </c>
      <c r="P273" t="s">
        <v>455</v>
      </c>
      <c r="Q273">
        <f>ABS(Table1[[#This Row],[Rate]]-Table1[[#This Row],[AI RATE]])</f>
        <v>1</v>
      </c>
      <c r="R273">
        <f>IF(Table1[[#This Row],[NEW RATING2]]&gt;0, Table1[[#This Row],[NEW RATING2]],Table1[[#This Row],[Rate]])</f>
        <v>2</v>
      </c>
      <c r="S273">
        <f>IF(Table1[[#This Row],[Rate]] =Table1[[#This Row],[AI RATE]],1, 0)</f>
        <v>0</v>
      </c>
    </row>
    <row r="274" spans="1:20" x14ac:dyDescent="0.35">
      <c r="A274">
        <v>2022</v>
      </c>
      <c r="B274">
        <v>20</v>
      </c>
      <c r="C274">
        <v>20</v>
      </c>
      <c r="D274" t="s">
        <v>90</v>
      </c>
      <c r="F274" t="s">
        <v>478</v>
      </c>
      <c r="G274">
        <v>2</v>
      </c>
      <c r="H274" t="s">
        <v>14</v>
      </c>
      <c r="I274" t="s">
        <v>119</v>
      </c>
      <c r="J274" t="s">
        <v>603</v>
      </c>
      <c r="K274" t="s">
        <v>172</v>
      </c>
      <c r="L274" t="s">
        <v>16</v>
      </c>
      <c r="M274" t="s">
        <v>17</v>
      </c>
      <c r="O274">
        <v>1</v>
      </c>
      <c r="P274" t="s">
        <v>455</v>
      </c>
      <c r="Q274">
        <f>ABS(Table1[[#This Row],[Rate]]-Table1[[#This Row],[AI RATE]])</f>
        <v>1</v>
      </c>
      <c r="R274">
        <f>IF(Table1[[#This Row],[NEW RATING2]]&gt;0, Table1[[#This Row],[NEW RATING2]],Table1[[#This Row],[Rate]])</f>
        <v>2</v>
      </c>
      <c r="S274">
        <f>IF(Table1[[#This Row],[Rate]] =Table1[[#This Row],[AI RATE]],1, 0)</f>
        <v>0</v>
      </c>
    </row>
    <row r="275" spans="1:20" x14ac:dyDescent="0.35">
      <c r="A275">
        <v>2022</v>
      </c>
      <c r="B275">
        <v>21</v>
      </c>
      <c r="C275">
        <v>21</v>
      </c>
      <c r="D275" t="s">
        <v>60</v>
      </c>
      <c r="F275" t="s">
        <v>479</v>
      </c>
      <c r="G275">
        <v>4</v>
      </c>
      <c r="H275" t="s">
        <v>124</v>
      </c>
      <c r="I275" t="s">
        <v>143</v>
      </c>
      <c r="J275" t="s">
        <v>603</v>
      </c>
      <c r="K275" t="s">
        <v>172</v>
      </c>
      <c r="L275" t="s">
        <v>16</v>
      </c>
      <c r="M275" t="s">
        <v>17</v>
      </c>
      <c r="O275">
        <v>5</v>
      </c>
      <c r="P275" t="s">
        <v>455</v>
      </c>
      <c r="Q275">
        <f>ABS(Table1[[#This Row],[Rate]]-Table1[[#This Row],[AI RATE]])</f>
        <v>1</v>
      </c>
      <c r="R275">
        <f>IF(Table1[[#This Row],[NEW RATING2]]&gt;0, Table1[[#This Row],[NEW RATING2]],Table1[[#This Row],[Rate]])</f>
        <v>4</v>
      </c>
      <c r="S275">
        <f>IF(Table1[[#This Row],[Rate]] =Table1[[#This Row],[AI RATE]],1, 0)</f>
        <v>0</v>
      </c>
    </row>
    <row r="276" spans="1:20" x14ac:dyDescent="0.35">
      <c r="A276">
        <v>2022</v>
      </c>
      <c r="B276">
        <v>22</v>
      </c>
      <c r="C276">
        <v>22</v>
      </c>
      <c r="D276" t="s">
        <v>78</v>
      </c>
      <c r="F276" t="s">
        <v>480</v>
      </c>
      <c r="G276">
        <v>3</v>
      </c>
      <c r="H276" t="s">
        <v>51</v>
      </c>
      <c r="I276" t="s">
        <v>59</v>
      </c>
      <c r="J276" t="s">
        <v>603</v>
      </c>
      <c r="K276" t="s">
        <v>172</v>
      </c>
      <c r="L276" t="s">
        <v>16</v>
      </c>
      <c r="M276" t="s">
        <v>17</v>
      </c>
      <c r="O276">
        <v>3</v>
      </c>
      <c r="P276" t="s">
        <v>455</v>
      </c>
      <c r="Q276">
        <f>ABS(Table1[[#This Row],[Rate]]-Table1[[#This Row],[AI RATE]])</f>
        <v>0</v>
      </c>
      <c r="R276">
        <f>IF(Table1[[#This Row],[NEW RATING2]]&gt;0, Table1[[#This Row],[NEW RATING2]],Table1[[#This Row],[Rate]])</f>
        <v>3</v>
      </c>
      <c r="S276">
        <f>IF(Table1[[#This Row],[Rate]] =Table1[[#This Row],[AI RATE]],1, 0)</f>
        <v>1</v>
      </c>
    </row>
    <row r="277" spans="1:20" x14ac:dyDescent="0.35">
      <c r="A277">
        <v>2022</v>
      </c>
      <c r="B277">
        <v>23</v>
      </c>
      <c r="C277">
        <v>23</v>
      </c>
      <c r="D277" t="s">
        <v>102</v>
      </c>
      <c r="F277" t="s">
        <v>481</v>
      </c>
      <c r="G277">
        <v>2</v>
      </c>
      <c r="H277" t="s">
        <v>124</v>
      </c>
      <c r="I277" t="s">
        <v>120</v>
      </c>
      <c r="J277" t="s">
        <v>603</v>
      </c>
      <c r="K277" t="s">
        <v>172</v>
      </c>
      <c r="L277" t="s">
        <v>16</v>
      </c>
      <c r="M277" t="s">
        <v>17</v>
      </c>
      <c r="O277">
        <v>2</v>
      </c>
      <c r="P277" t="s">
        <v>455</v>
      </c>
      <c r="Q277">
        <f>ABS(Table1[[#This Row],[Rate]]-Table1[[#This Row],[AI RATE]])</f>
        <v>0</v>
      </c>
      <c r="R277">
        <f>IF(Table1[[#This Row],[NEW RATING2]]&gt;0, Table1[[#This Row],[NEW RATING2]],Table1[[#This Row],[Rate]])</f>
        <v>2</v>
      </c>
      <c r="S277">
        <f>IF(Table1[[#This Row],[Rate]] =Table1[[#This Row],[AI RATE]],1, 0)</f>
        <v>1</v>
      </c>
    </row>
    <row r="278" spans="1:20" x14ac:dyDescent="0.35">
      <c r="A278">
        <v>2022</v>
      </c>
      <c r="B278">
        <v>24</v>
      </c>
      <c r="C278">
        <v>24</v>
      </c>
      <c r="D278" t="s">
        <v>46</v>
      </c>
      <c r="F278" t="s">
        <v>482</v>
      </c>
      <c r="G278">
        <v>3</v>
      </c>
      <c r="H278" t="s">
        <v>55</v>
      </c>
      <c r="I278" t="s">
        <v>436</v>
      </c>
      <c r="J278" t="s">
        <v>603</v>
      </c>
      <c r="K278" t="s">
        <v>172</v>
      </c>
      <c r="L278" t="s">
        <v>16</v>
      </c>
      <c r="M278" t="s">
        <v>17</v>
      </c>
      <c r="O278">
        <v>4</v>
      </c>
      <c r="P278" t="s">
        <v>455</v>
      </c>
      <c r="Q278">
        <f>ABS(Table1[[#This Row],[Rate]]-Table1[[#This Row],[AI RATE]])</f>
        <v>1</v>
      </c>
      <c r="R278">
        <f>IF(Table1[[#This Row],[NEW RATING2]]&gt;0, Table1[[#This Row],[NEW RATING2]],Table1[[#This Row],[Rate]])</f>
        <v>3</v>
      </c>
      <c r="S278">
        <f>IF(Table1[[#This Row],[Rate]] =Table1[[#This Row],[AI RATE]],1, 0)</f>
        <v>0</v>
      </c>
    </row>
    <row r="279" spans="1:20" x14ac:dyDescent="0.35">
      <c r="A279">
        <v>2022</v>
      </c>
      <c r="B279">
        <v>25</v>
      </c>
      <c r="C279">
        <v>25</v>
      </c>
      <c r="D279" t="s">
        <v>74</v>
      </c>
      <c r="F279" t="s">
        <v>483</v>
      </c>
      <c r="G279">
        <v>5</v>
      </c>
      <c r="H279" t="s">
        <v>220</v>
      </c>
      <c r="I279" t="s">
        <v>109</v>
      </c>
      <c r="J279" t="s">
        <v>603</v>
      </c>
      <c r="K279" t="s">
        <v>172</v>
      </c>
      <c r="L279" t="s">
        <v>16</v>
      </c>
      <c r="M279" t="s">
        <v>17</v>
      </c>
      <c r="O279">
        <v>5</v>
      </c>
      <c r="P279" t="s">
        <v>455</v>
      </c>
      <c r="Q279">
        <f>ABS(Table1[[#This Row],[Rate]]-Table1[[#This Row],[AI RATE]])</f>
        <v>0</v>
      </c>
      <c r="R279">
        <f>IF(Table1[[#This Row],[NEW RATING2]]&gt;0, Table1[[#This Row],[NEW RATING2]],Table1[[#This Row],[Rate]])</f>
        <v>5</v>
      </c>
      <c r="S279">
        <f>IF(Table1[[#This Row],[Rate]] =Table1[[#This Row],[AI RATE]],1, 0)</f>
        <v>1</v>
      </c>
    </row>
    <row r="280" spans="1:20" x14ac:dyDescent="0.35">
      <c r="A280">
        <v>2022</v>
      </c>
      <c r="B280">
        <v>26</v>
      </c>
      <c r="C280">
        <v>26</v>
      </c>
      <c r="D280" t="s">
        <v>99</v>
      </c>
      <c r="F280" t="s">
        <v>484</v>
      </c>
      <c r="G280">
        <v>3</v>
      </c>
      <c r="H280" t="s">
        <v>454</v>
      </c>
      <c r="I280" t="s">
        <v>64</v>
      </c>
      <c r="J280" t="s">
        <v>151</v>
      </c>
      <c r="K280" t="s">
        <v>152</v>
      </c>
      <c r="L280" t="s">
        <v>153</v>
      </c>
      <c r="M280" t="s">
        <v>154</v>
      </c>
      <c r="N280" t="s">
        <v>457</v>
      </c>
      <c r="O280">
        <v>3</v>
      </c>
      <c r="P280" t="s">
        <v>455</v>
      </c>
      <c r="Q280">
        <f>ABS(Table1[[#This Row],[Rate]]-Table1[[#This Row],[AI RATE]])</f>
        <v>0</v>
      </c>
      <c r="R280">
        <f>IF(Table1[[#This Row],[NEW RATING2]]&gt;0, Table1[[#This Row],[NEW RATING2]],Table1[[#This Row],[Rate]])</f>
        <v>3</v>
      </c>
      <c r="S280">
        <f>IF(Table1[[#This Row],[Rate]] =Table1[[#This Row],[AI RATE]],1, 0)</f>
        <v>1</v>
      </c>
    </row>
    <row r="281" spans="1:20" x14ac:dyDescent="0.35">
      <c r="A281">
        <v>2022</v>
      </c>
      <c r="B281">
        <v>27</v>
      </c>
      <c r="C281">
        <v>27</v>
      </c>
      <c r="D281" t="s">
        <v>71</v>
      </c>
      <c r="F281" t="s">
        <v>485</v>
      </c>
      <c r="G281">
        <v>4</v>
      </c>
      <c r="H281" t="s">
        <v>51</v>
      </c>
      <c r="I281" t="s">
        <v>15</v>
      </c>
      <c r="J281" t="s">
        <v>151</v>
      </c>
      <c r="K281" t="s">
        <v>152</v>
      </c>
      <c r="L281" t="s">
        <v>153</v>
      </c>
      <c r="M281" t="s">
        <v>154</v>
      </c>
      <c r="N281" t="s">
        <v>457</v>
      </c>
      <c r="O281">
        <v>2</v>
      </c>
      <c r="P281" t="s">
        <v>455</v>
      </c>
      <c r="Q281">
        <f>ABS(Table1[[#This Row],[Rate]]-Table1[[#This Row],[AI RATE]])</f>
        <v>2</v>
      </c>
      <c r="R281">
        <f>IF(Table1[[#This Row],[NEW RATING2]]&gt;0, Table1[[#This Row],[NEW RATING2]],Table1[[#This Row],[Rate]])</f>
        <v>4</v>
      </c>
      <c r="S281">
        <f>IF(Table1[[#This Row],[Rate]] =Table1[[#This Row],[AI RATE]],1, 0)</f>
        <v>0</v>
      </c>
      <c r="T281">
        <v>4</v>
      </c>
    </row>
    <row r="282" spans="1:20" x14ac:dyDescent="0.35">
      <c r="A282">
        <v>2022</v>
      </c>
      <c r="B282">
        <v>28</v>
      </c>
      <c r="C282">
        <v>28</v>
      </c>
      <c r="D282" t="s">
        <v>78</v>
      </c>
      <c r="F282" t="s">
        <v>486</v>
      </c>
      <c r="G282">
        <v>3</v>
      </c>
      <c r="H282" t="s">
        <v>86</v>
      </c>
      <c r="I282" t="s">
        <v>59</v>
      </c>
      <c r="J282" t="s">
        <v>151</v>
      </c>
      <c r="K282" t="s">
        <v>152</v>
      </c>
      <c r="L282" t="s">
        <v>153</v>
      </c>
      <c r="M282" t="s">
        <v>154</v>
      </c>
      <c r="N282" t="s">
        <v>457</v>
      </c>
      <c r="O282">
        <v>3</v>
      </c>
      <c r="P282" t="s">
        <v>455</v>
      </c>
      <c r="Q282">
        <f>ABS(Table1[[#This Row],[Rate]]-Table1[[#This Row],[AI RATE]])</f>
        <v>0</v>
      </c>
      <c r="R282">
        <f>IF(Table1[[#This Row],[NEW RATING2]]&gt;0, Table1[[#This Row],[NEW RATING2]],Table1[[#This Row],[Rate]])</f>
        <v>3</v>
      </c>
      <c r="S282">
        <f>IF(Table1[[#This Row],[Rate]] =Table1[[#This Row],[AI RATE]],1, 0)</f>
        <v>1</v>
      </c>
    </row>
    <row r="283" spans="1:20" x14ac:dyDescent="0.35">
      <c r="A283">
        <v>2022</v>
      </c>
      <c r="B283">
        <v>29</v>
      </c>
      <c r="C283">
        <v>29</v>
      </c>
      <c r="D283" t="s">
        <v>95</v>
      </c>
      <c r="F283" t="s">
        <v>487</v>
      </c>
      <c r="G283">
        <v>3</v>
      </c>
      <c r="H283" t="s">
        <v>97</v>
      </c>
      <c r="I283" t="s">
        <v>488</v>
      </c>
      <c r="J283" t="s">
        <v>603</v>
      </c>
      <c r="K283" t="s">
        <v>172</v>
      </c>
      <c r="L283" t="s">
        <v>16</v>
      </c>
      <c r="M283" t="s">
        <v>17</v>
      </c>
      <c r="O283">
        <v>1</v>
      </c>
      <c r="P283" t="s">
        <v>455</v>
      </c>
      <c r="Q283">
        <f>ABS(Table1[[#This Row],[Rate]]-Table1[[#This Row],[AI RATE]])</f>
        <v>2</v>
      </c>
      <c r="R283">
        <f>IF(Table1[[#This Row],[NEW RATING2]]&gt;0, Table1[[#This Row],[NEW RATING2]],Table1[[#This Row],[Rate]])</f>
        <v>2</v>
      </c>
      <c r="S283">
        <f>IF(Table1[[#This Row],[Rate]] =Table1[[#This Row],[AI RATE]],1, 0)</f>
        <v>0</v>
      </c>
      <c r="T283">
        <v>2</v>
      </c>
    </row>
    <row r="284" spans="1:20" x14ac:dyDescent="0.35">
      <c r="A284">
        <v>2022</v>
      </c>
      <c r="B284">
        <v>30</v>
      </c>
      <c r="C284">
        <v>30</v>
      </c>
      <c r="D284" t="s">
        <v>60</v>
      </c>
      <c r="F284" t="s">
        <v>489</v>
      </c>
      <c r="G284">
        <v>3</v>
      </c>
      <c r="H284" t="s">
        <v>454</v>
      </c>
      <c r="I284" t="s">
        <v>122</v>
      </c>
      <c r="J284" t="s">
        <v>151</v>
      </c>
      <c r="K284" t="s">
        <v>152</v>
      </c>
      <c r="L284" t="s">
        <v>153</v>
      </c>
      <c r="M284" t="s">
        <v>154</v>
      </c>
      <c r="N284" t="s">
        <v>457</v>
      </c>
      <c r="O284">
        <v>4</v>
      </c>
      <c r="P284" t="s">
        <v>455</v>
      </c>
      <c r="Q284">
        <f>ABS(Table1[[#This Row],[Rate]]-Table1[[#This Row],[AI RATE]])</f>
        <v>1</v>
      </c>
      <c r="R284">
        <f>IF(Table1[[#This Row],[NEW RATING2]]&gt;0, Table1[[#This Row],[NEW RATING2]],Table1[[#This Row],[Rate]])</f>
        <v>3</v>
      </c>
      <c r="S284">
        <f>IF(Table1[[#This Row],[Rate]] =Table1[[#This Row],[AI RATE]],1, 0)</f>
        <v>0</v>
      </c>
    </row>
    <row r="285" spans="1:20" x14ac:dyDescent="0.35">
      <c r="A285">
        <v>2022</v>
      </c>
      <c r="B285">
        <v>31</v>
      </c>
      <c r="C285">
        <v>31</v>
      </c>
      <c r="D285" t="s">
        <v>65</v>
      </c>
      <c r="F285" t="s">
        <v>490</v>
      </c>
      <c r="G285">
        <v>3</v>
      </c>
      <c r="H285" t="s">
        <v>130</v>
      </c>
      <c r="I285" t="s">
        <v>26</v>
      </c>
      <c r="J285" t="s">
        <v>603</v>
      </c>
      <c r="K285" t="s">
        <v>172</v>
      </c>
      <c r="L285" t="s">
        <v>16</v>
      </c>
      <c r="M285" t="s">
        <v>17</v>
      </c>
      <c r="O285">
        <v>2</v>
      </c>
      <c r="P285" t="s">
        <v>455</v>
      </c>
      <c r="Q285">
        <f>ABS(Table1[[#This Row],[Rate]]-Table1[[#This Row],[AI RATE]])</f>
        <v>1</v>
      </c>
      <c r="R285">
        <f>IF(Table1[[#This Row],[NEW RATING2]]&gt;0, Table1[[#This Row],[NEW RATING2]],Table1[[#This Row],[Rate]])</f>
        <v>3</v>
      </c>
      <c r="S285">
        <f>IF(Table1[[#This Row],[Rate]] =Table1[[#This Row],[AI RATE]],1, 0)</f>
        <v>0</v>
      </c>
    </row>
    <row r="286" spans="1:20" x14ac:dyDescent="0.35">
      <c r="A286">
        <v>2022</v>
      </c>
      <c r="B286">
        <v>32</v>
      </c>
      <c r="C286">
        <v>32</v>
      </c>
      <c r="D286" t="s">
        <v>35</v>
      </c>
      <c r="F286" t="s">
        <v>491</v>
      </c>
      <c r="G286">
        <v>1</v>
      </c>
      <c r="H286" t="s">
        <v>130</v>
      </c>
      <c r="I286" t="s">
        <v>59</v>
      </c>
      <c r="J286" t="s">
        <v>603</v>
      </c>
      <c r="K286" t="s">
        <v>172</v>
      </c>
      <c r="L286" t="s">
        <v>16</v>
      </c>
      <c r="M286" t="s">
        <v>17</v>
      </c>
      <c r="O286">
        <v>1</v>
      </c>
      <c r="P286" t="s">
        <v>455</v>
      </c>
      <c r="Q286">
        <f>ABS(Table1[[#This Row],[Rate]]-Table1[[#This Row],[AI RATE]])</f>
        <v>0</v>
      </c>
      <c r="R286">
        <f>IF(Table1[[#This Row],[NEW RATING2]]&gt;0, Table1[[#This Row],[NEW RATING2]],Table1[[#This Row],[Rate]])</f>
        <v>1</v>
      </c>
      <c r="S286">
        <f>IF(Table1[[#This Row],[Rate]] =Table1[[#This Row],[AI RATE]],1, 0)</f>
        <v>1</v>
      </c>
    </row>
    <row r="287" spans="1:20" x14ac:dyDescent="0.35">
      <c r="A287">
        <v>2023</v>
      </c>
      <c r="B287">
        <v>1</v>
      </c>
      <c r="C287">
        <v>1</v>
      </c>
      <c r="D287" t="s">
        <v>57</v>
      </c>
      <c r="F287" t="s">
        <v>492</v>
      </c>
      <c r="G287">
        <v>3</v>
      </c>
      <c r="H287" t="s">
        <v>14</v>
      </c>
      <c r="I287" t="s">
        <v>133</v>
      </c>
      <c r="J287" t="s">
        <v>151</v>
      </c>
      <c r="K287" t="s">
        <v>152</v>
      </c>
      <c r="L287" t="s">
        <v>153</v>
      </c>
      <c r="M287" t="s">
        <v>154</v>
      </c>
      <c r="N287" t="s">
        <v>493</v>
      </c>
      <c r="O287">
        <v>2</v>
      </c>
      <c r="P287" t="s">
        <v>455</v>
      </c>
      <c r="Q287">
        <f>ABS(Table1[[#This Row],[Rate]]-Table1[[#This Row],[AI RATE]])</f>
        <v>1</v>
      </c>
      <c r="R287">
        <f>IF(Table1[[#This Row],[NEW RATING2]]&gt;0, Table1[[#This Row],[NEW RATING2]],Table1[[#This Row],[Rate]])</f>
        <v>3</v>
      </c>
      <c r="S287">
        <f>IF(Table1[[#This Row],[Rate]] =Table1[[#This Row],[AI RATE]],1, 0)</f>
        <v>0</v>
      </c>
    </row>
    <row r="288" spans="1:20" x14ac:dyDescent="0.35">
      <c r="A288">
        <v>2023</v>
      </c>
      <c r="B288">
        <v>2</v>
      </c>
      <c r="C288">
        <v>2</v>
      </c>
      <c r="D288" t="s">
        <v>62</v>
      </c>
      <c r="F288" t="s">
        <v>494</v>
      </c>
      <c r="G288">
        <v>4</v>
      </c>
      <c r="H288" t="s">
        <v>14</v>
      </c>
      <c r="I288" t="s">
        <v>101</v>
      </c>
      <c r="J288" t="s">
        <v>151</v>
      </c>
      <c r="K288" t="s">
        <v>152</v>
      </c>
      <c r="L288" t="s">
        <v>153</v>
      </c>
      <c r="M288" t="s">
        <v>154</v>
      </c>
      <c r="N288" t="s">
        <v>493</v>
      </c>
      <c r="O288">
        <v>4</v>
      </c>
      <c r="P288" t="s">
        <v>455</v>
      </c>
      <c r="Q288">
        <f>ABS(Table1[[#This Row],[Rate]]-Table1[[#This Row],[AI RATE]])</f>
        <v>0</v>
      </c>
      <c r="R288">
        <f>IF(Table1[[#This Row],[NEW RATING2]]&gt;0, Table1[[#This Row],[NEW RATING2]],Table1[[#This Row],[Rate]])</f>
        <v>4</v>
      </c>
      <c r="S288">
        <f>IF(Table1[[#This Row],[Rate]] =Table1[[#This Row],[AI RATE]],1, 0)</f>
        <v>1</v>
      </c>
    </row>
    <row r="289" spans="1:19" x14ac:dyDescent="0.35">
      <c r="A289">
        <v>2023</v>
      </c>
      <c r="B289">
        <v>3</v>
      </c>
      <c r="C289">
        <v>3</v>
      </c>
      <c r="D289" t="s">
        <v>62</v>
      </c>
      <c r="F289" t="s">
        <v>495</v>
      </c>
      <c r="G289">
        <v>5</v>
      </c>
      <c r="H289" t="s">
        <v>496</v>
      </c>
      <c r="I289" t="s">
        <v>133</v>
      </c>
      <c r="J289" t="s">
        <v>151</v>
      </c>
      <c r="K289" t="s">
        <v>152</v>
      </c>
      <c r="L289" t="s">
        <v>153</v>
      </c>
      <c r="M289" t="s">
        <v>154</v>
      </c>
      <c r="N289" t="s">
        <v>493</v>
      </c>
      <c r="O289">
        <v>4</v>
      </c>
      <c r="P289" t="s">
        <v>455</v>
      </c>
      <c r="Q289">
        <f>ABS(Table1[[#This Row],[Rate]]-Table1[[#This Row],[AI RATE]])</f>
        <v>1</v>
      </c>
      <c r="R289">
        <f>IF(Table1[[#This Row],[NEW RATING2]]&gt;0, Table1[[#This Row],[NEW RATING2]],Table1[[#This Row],[Rate]])</f>
        <v>5</v>
      </c>
      <c r="S289">
        <f>IF(Table1[[#This Row],[Rate]] =Table1[[#This Row],[AI RATE]],1, 0)</f>
        <v>0</v>
      </c>
    </row>
    <row r="290" spans="1:19" x14ac:dyDescent="0.35">
      <c r="A290">
        <v>2023</v>
      </c>
      <c r="B290">
        <v>4</v>
      </c>
      <c r="C290">
        <v>4</v>
      </c>
      <c r="D290" t="s">
        <v>88</v>
      </c>
      <c r="F290" t="s">
        <v>497</v>
      </c>
      <c r="G290">
        <v>1</v>
      </c>
      <c r="H290" t="s">
        <v>14</v>
      </c>
      <c r="I290" t="s">
        <v>120</v>
      </c>
      <c r="J290" t="s">
        <v>151</v>
      </c>
      <c r="K290" t="s">
        <v>152</v>
      </c>
      <c r="L290" t="s">
        <v>153</v>
      </c>
      <c r="M290" t="s">
        <v>154</v>
      </c>
      <c r="N290" t="s">
        <v>493</v>
      </c>
      <c r="O290">
        <v>2</v>
      </c>
      <c r="P290" t="s">
        <v>455</v>
      </c>
      <c r="Q290">
        <f>ABS(Table1[[#This Row],[Rate]]-Table1[[#This Row],[AI RATE]])</f>
        <v>1</v>
      </c>
      <c r="R290">
        <f>IF(Table1[[#This Row],[NEW RATING2]]&gt;0, Table1[[#This Row],[NEW RATING2]],Table1[[#This Row],[Rate]])</f>
        <v>1</v>
      </c>
      <c r="S290">
        <f>IF(Table1[[#This Row],[Rate]] =Table1[[#This Row],[AI RATE]],1, 0)</f>
        <v>0</v>
      </c>
    </row>
    <row r="291" spans="1:19" x14ac:dyDescent="0.35">
      <c r="A291">
        <v>2023</v>
      </c>
      <c r="B291">
        <v>5</v>
      </c>
      <c r="C291">
        <v>5</v>
      </c>
      <c r="D291" t="s">
        <v>81</v>
      </c>
      <c r="F291" t="s">
        <v>498</v>
      </c>
      <c r="G291">
        <v>5</v>
      </c>
      <c r="H291" t="s">
        <v>124</v>
      </c>
      <c r="I291" t="s">
        <v>126</v>
      </c>
      <c r="J291" t="s">
        <v>151</v>
      </c>
      <c r="K291" t="s">
        <v>152</v>
      </c>
      <c r="L291" t="s">
        <v>153</v>
      </c>
      <c r="M291" t="s">
        <v>154</v>
      </c>
      <c r="N291" t="s">
        <v>493</v>
      </c>
      <c r="O291">
        <v>4</v>
      </c>
      <c r="P291" t="s">
        <v>455</v>
      </c>
      <c r="Q291">
        <f>ABS(Table1[[#This Row],[Rate]]-Table1[[#This Row],[AI RATE]])</f>
        <v>1</v>
      </c>
      <c r="R291">
        <f>IF(Table1[[#This Row],[NEW RATING2]]&gt;0, Table1[[#This Row],[NEW RATING2]],Table1[[#This Row],[Rate]])</f>
        <v>5</v>
      </c>
      <c r="S291">
        <f>IF(Table1[[#This Row],[Rate]] =Table1[[#This Row],[AI RATE]],1, 0)</f>
        <v>0</v>
      </c>
    </row>
    <row r="292" spans="1:19" x14ac:dyDescent="0.35">
      <c r="A292">
        <v>2023</v>
      </c>
      <c r="B292">
        <v>6</v>
      </c>
      <c r="C292">
        <v>6</v>
      </c>
      <c r="D292" t="s">
        <v>38</v>
      </c>
      <c r="F292" t="s">
        <v>499</v>
      </c>
      <c r="G292">
        <v>4</v>
      </c>
      <c r="H292" t="s">
        <v>55</v>
      </c>
      <c r="I292" t="s">
        <v>101</v>
      </c>
      <c r="J292" t="s">
        <v>151</v>
      </c>
      <c r="K292" t="s">
        <v>152</v>
      </c>
      <c r="L292" t="s">
        <v>153</v>
      </c>
      <c r="M292" t="s">
        <v>154</v>
      </c>
      <c r="N292" t="s">
        <v>493</v>
      </c>
      <c r="O292">
        <v>3</v>
      </c>
      <c r="P292" t="s">
        <v>455</v>
      </c>
      <c r="Q292">
        <f>ABS(Table1[[#This Row],[Rate]]-Table1[[#This Row],[AI RATE]])</f>
        <v>1</v>
      </c>
      <c r="R292">
        <f>IF(Table1[[#This Row],[NEW RATING2]]&gt;0, Table1[[#This Row],[NEW RATING2]],Table1[[#This Row],[Rate]])</f>
        <v>4</v>
      </c>
      <c r="S292">
        <f>IF(Table1[[#This Row],[Rate]] =Table1[[#This Row],[AI RATE]],1, 0)</f>
        <v>0</v>
      </c>
    </row>
    <row r="293" spans="1:19" x14ac:dyDescent="0.35">
      <c r="A293">
        <v>2023</v>
      </c>
      <c r="B293">
        <v>7</v>
      </c>
      <c r="C293">
        <v>7</v>
      </c>
      <c r="D293" t="s">
        <v>394</v>
      </c>
      <c r="F293" t="s">
        <v>500</v>
      </c>
      <c r="G293">
        <v>1</v>
      </c>
      <c r="H293" t="s">
        <v>454</v>
      </c>
      <c r="I293" t="s">
        <v>134</v>
      </c>
      <c r="J293" t="s">
        <v>151</v>
      </c>
      <c r="K293" t="s">
        <v>152</v>
      </c>
      <c r="L293" t="s">
        <v>153</v>
      </c>
      <c r="M293" t="s">
        <v>154</v>
      </c>
      <c r="N293" t="s">
        <v>493</v>
      </c>
      <c r="O293">
        <v>2</v>
      </c>
      <c r="P293" t="s">
        <v>455</v>
      </c>
      <c r="Q293">
        <f>ABS(Table1[[#This Row],[Rate]]-Table1[[#This Row],[AI RATE]])</f>
        <v>1</v>
      </c>
      <c r="R293">
        <f>IF(Table1[[#This Row],[NEW RATING2]]&gt;0, Table1[[#This Row],[NEW RATING2]],Table1[[#This Row],[Rate]])</f>
        <v>1</v>
      </c>
      <c r="S293">
        <f>IF(Table1[[#This Row],[Rate]] =Table1[[#This Row],[AI RATE]],1, 0)</f>
        <v>0</v>
      </c>
    </row>
    <row r="294" spans="1:19" x14ac:dyDescent="0.35">
      <c r="A294">
        <v>2023</v>
      </c>
      <c r="B294">
        <v>8</v>
      </c>
      <c r="C294">
        <v>8</v>
      </c>
      <c r="D294" t="s">
        <v>84</v>
      </c>
      <c r="F294" t="s">
        <v>501</v>
      </c>
      <c r="G294">
        <v>5</v>
      </c>
      <c r="H294" t="s">
        <v>21</v>
      </c>
      <c r="I294" t="s">
        <v>29</v>
      </c>
      <c r="J294" t="s">
        <v>151</v>
      </c>
      <c r="K294" t="s">
        <v>152</v>
      </c>
      <c r="L294" t="s">
        <v>153</v>
      </c>
      <c r="M294" t="s">
        <v>154</v>
      </c>
      <c r="N294" t="s">
        <v>493</v>
      </c>
      <c r="O294">
        <v>4</v>
      </c>
      <c r="P294" t="s">
        <v>455</v>
      </c>
      <c r="Q294">
        <f>ABS(Table1[[#This Row],[Rate]]-Table1[[#This Row],[AI RATE]])</f>
        <v>1</v>
      </c>
      <c r="R294">
        <f>IF(Table1[[#This Row],[NEW RATING2]]&gt;0, Table1[[#This Row],[NEW RATING2]],Table1[[#This Row],[Rate]])</f>
        <v>5</v>
      </c>
      <c r="S294">
        <f>IF(Table1[[#This Row],[Rate]] =Table1[[#This Row],[AI RATE]],1, 0)</f>
        <v>0</v>
      </c>
    </row>
    <row r="295" spans="1:19" x14ac:dyDescent="0.35">
      <c r="A295">
        <v>2023</v>
      </c>
      <c r="B295">
        <v>9</v>
      </c>
      <c r="C295">
        <v>9</v>
      </c>
      <c r="D295" t="s">
        <v>93</v>
      </c>
      <c r="F295" t="s">
        <v>502</v>
      </c>
      <c r="G295">
        <v>5</v>
      </c>
      <c r="H295" t="s">
        <v>86</v>
      </c>
      <c r="I295" t="s">
        <v>59</v>
      </c>
      <c r="J295" t="s">
        <v>151</v>
      </c>
      <c r="K295" t="s">
        <v>152</v>
      </c>
      <c r="L295" t="s">
        <v>153</v>
      </c>
      <c r="M295" t="s">
        <v>154</v>
      </c>
      <c r="N295" t="s">
        <v>493</v>
      </c>
      <c r="O295">
        <v>4</v>
      </c>
      <c r="P295" t="s">
        <v>455</v>
      </c>
      <c r="Q295">
        <f>ABS(Table1[[#This Row],[Rate]]-Table1[[#This Row],[AI RATE]])</f>
        <v>1</v>
      </c>
      <c r="R295">
        <f>IF(Table1[[#This Row],[NEW RATING2]]&gt;0, Table1[[#This Row],[NEW RATING2]],Table1[[#This Row],[Rate]])</f>
        <v>5</v>
      </c>
      <c r="S295">
        <f>IF(Table1[[#This Row],[Rate]] =Table1[[#This Row],[AI RATE]],1, 0)</f>
        <v>0</v>
      </c>
    </row>
    <row r="296" spans="1:19" x14ac:dyDescent="0.35">
      <c r="A296">
        <v>2023</v>
      </c>
      <c r="B296">
        <v>10</v>
      </c>
      <c r="C296">
        <v>10</v>
      </c>
      <c r="D296" t="s">
        <v>27</v>
      </c>
      <c r="F296" t="s">
        <v>503</v>
      </c>
      <c r="G296">
        <v>4</v>
      </c>
      <c r="H296" t="s">
        <v>55</v>
      </c>
      <c r="I296" t="s">
        <v>108</v>
      </c>
      <c r="J296" t="s">
        <v>603</v>
      </c>
      <c r="K296" t="s">
        <v>172</v>
      </c>
      <c r="L296" t="s">
        <v>16</v>
      </c>
      <c r="M296" t="s">
        <v>17</v>
      </c>
      <c r="O296">
        <v>3</v>
      </c>
      <c r="P296" t="s">
        <v>455</v>
      </c>
      <c r="Q296">
        <f>ABS(Table1[[#This Row],[Rate]]-Table1[[#This Row],[AI RATE]])</f>
        <v>1</v>
      </c>
      <c r="R296">
        <f>IF(Table1[[#This Row],[NEW RATING2]]&gt;0, Table1[[#This Row],[NEW RATING2]],Table1[[#This Row],[Rate]])</f>
        <v>4</v>
      </c>
      <c r="S296">
        <f>IF(Table1[[#This Row],[Rate]] =Table1[[#This Row],[AI RATE]],1, 0)</f>
        <v>0</v>
      </c>
    </row>
    <row r="297" spans="1:19" x14ac:dyDescent="0.35">
      <c r="A297">
        <v>2023</v>
      </c>
      <c r="B297">
        <v>11</v>
      </c>
      <c r="C297">
        <v>11</v>
      </c>
      <c r="D297" t="s">
        <v>32</v>
      </c>
      <c r="F297" t="s">
        <v>504</v>
      </c>
      <c r="G297">
        <v>3</v>
      </c>
      <c r="H297" t="s">
        <v>505</v>
      </c>
      <c r="I297" t="s">
        <v>87</v>
      </c>
      <c r="J297" t="s">
        <v>603</v>
      </c>
      <c r="K297" t="s">
        <v>172</v>
      </c>
      <c r="L297" t="s">
        <v>16</v>
      </c>
      <c r="M297" t="s">
        <v>17</v>
      </c>
      <c r="O297">
        <v>4</v>
      </c>
      <c r="P297" t="s">
        <v>455</v>
      </c>
      <c r="Q297">
        <f>ABS(Table1[[#This Row],[Rate]]-Table1[[#This Row],[AI RATE]])</f>
        <v>1</v>
      </c>
      <c r="R297">
        <f>IF(Table1[[#This Row],[NEW RATING2]]&gt;0, Table1[[#This Row],[NEW RATING2]],Table1[[#This Row],[Rate]])</f>
        <v>3</v>
      </c>
      <c r="S297">
        <f>IF(Table1[[#This Row],[Rate]] =Table1[[#This Row],[AI RATE]],1, 0)</f>
        <v>0</v>
      </c>
    </row>
    <row r="298" spans="1:19" x14ac:dyDescent="0.35">
      <c r="A298">
        <v>2023</v>
      </c>
      <c r="B298">
        <v>12</v>
      </c>
      <c r="C298">
        <v>12</v>
      </c>
      <c r="D298" t="s">
        <v>42</v>
      </c>
      <c r="F298" t="s">
        <v>506</v>
      </c>
      <c r="G298">
        <v>5</v>
      </c>
      <c r="H298" t="s">
        <v>21</v>
      </c>
      <c r="I298" t="s">
        <v>133</v>
      </c>
      <c r="J298" t="s">
        <v>603</v>
      </c>
      <c r="K298" t="s">
        <v>172</v>
      </c>
      <c r="L298" t="s">
        <v>16</v>
      </c>
      <c r="M298" t="s">
        <v>17</v>
      </c>
      <c r="O298">
        <v>4</v>
      </c>
      <c r="P298" t="s">
        <v>455</v>
      </c>
      <c r="Q298">
        <f>ABS(Table1[[#This Row],[Rate]]-Table1[[#This Row],[AI RATE]])</f>
        <v>1</v>
      </c>
      <c r="R298">
        <f>IF(Table1[[#This Row],[NEW RATING2]]&gt;0, Table1[[#This Row],[NEW RATING2]],Table1[[#This Row],[Rate]])</f>
        <v>5</v>
      </c>
      <c r="S298">
        <f>IF(Table1[[#This Row],[Rate]] =Table1[[#This Row],[AI RATE]],1, 0)</f>
        <v>0</v>
      </c>
    </row>
    <row r="299" spans="1:19" x14ac:dyDescent="0.35">
      <c r="A299">
        <v>2023</v>
      </c>
      <c r="B299">
        <v>13</v>
      </c>
      <c r="C299">
        <v>13</v>
      </c>
      <c r="D299" t="s">
        <v>78</v>
      </c>
      <c r="F299" t="s">
        <v>507</v>
      </c>
      <c r="G299">
        <v>3</v>
      </c>
      <c r="H299" t="s">
        <v>454</v>
      </c>
      <c r="I299" t="s">
        <v>109</v>
      </c>
      <c r="J299" t="s">
        <v>603</v>
      </c>
      <c r="K299" t="s">
        <v>172</v>
      </c>
      <c r="L299" t="s">
        <v>16</v>
      </c>
      <c r="M299" t="s">
        <v>17</v>
      </c>
      <c r="O299">
        <v>2</v>
      </c>
      <c r="P299" t="s">
        <v>455</v>
      </c>
      <c r="Q299">
        <f>ABS(Table1[[#This Row],[Rate]]-Table1[[#This Row],[AI RATE]])</f>
        <v>1</v>
      </c>
      <c r="R299">
        <f>IF(Table1[[#This Row],[NEW RATING2]]&gt;0, Table1[[#This Row],[NEW RATING2]],Table1[[#This Row],[Rate]])</f>
        <v>3</v>
      </c>
      <c r="S299">
        <f>IF(Table1[[#This Row],[Rate]] =Table1[[#This Row],[AI RATE]],1, 0)</f>
        <v>0</v>
      </c>
    </row>
    <row r="300" spans="1:19" x14ac:dyDescent="0.35">
      <c r="A300">
        <v>2023</v>
      </c>
      <c r="B300">
        <v>14</v>
      </c>
      <c r="C300">
        <v>14</v>
      </c>
      <c r="D300" t="s">
        <v>90</v>
      </c>
      <c r="F300" t="s">
        <v>508</v>
      </c>
      <c r="G300">
        <v>3</v>
      </c>
      <c r="H300" t="s">
        <v>55</v>
      </c>
      <c r="I300" t="s">
        <v>59</v>
      </c>
      <c r="J300" t="s">
        <v>603</v>
      </c>
      <c r="K300" t="s">
        <v>172</v>
      </c>
      <c r="L300" t="s">
        <v>16</v>
      </c>
      <c r="M300" t="s">
        <v>17</v>
      </c>
      <c r="O300">
        <v>2</v>
      </c>
      <c r="P300" t="s">
        <v>455</v>
      </c>
      <c r="Q300">
        <f>ABS(Table1[[#This Row],[Rate]]-Table1[[#This Row],[AI RATE]])</f>
        <v>1</v>
      </c>
      <c r="R300">
        <f>IF(Table1[[#This Row],[NEW RATING2]]&gt;0, Table1[[#This Row],[NEW RATING2]],Table1[[#This Row],[Rate]])</f>
        <v>3</v>
      </c>
      <c r="S300">
        <f>IF(Table1[[#This Row],[Rate]] =Table1[[#This Row],[AI RATE]],1, 0)</f>
        <v>0</v>
      </c>
    </row>
    <row r="301" spans="1:19" x14ac:dyDescent="0.35">
      <c r="A301">
        <v>2023</v>
      </c>
      <c r="B301">
        <v>15</v>
      </c>
      <c r="C301">
        <v>15</v>
      </c>
      <c r="D301" t="s">
        <v>99</v>
      </c>
      <c r="F301" t="s">
        <v>509</v>
      </c>
      <c r="G301">
        <v>3</v>
      </c>
      <c r="H301" t="s">
        <v>454</v>
      </c>
      <c r="I301" t="s">
        <v>510</v>
      </c>
      <c r="J301" t="s">
        <v>603</v>
      </c>
      <c r="K301" t="s">
        <v>172</v>
      </c>
      <c r="L301" t="s">
        <v>16</v>
      </c>
      <c r="M301" t="s">
        <v>17</v>
      </c>
      <c r="O301">
        <v>3</v>
      </c>
      <c r="P301" t="s">
        <v>455</v>
      </c>
      <c r="Q301">
        <f>ABS(Table1[[#This Row],[Rate]]-Table1[[#This Row],[AI RATE]])</f>
        <v>0</v>
      </c>
      <c r="R301">
        <f>IF(Table1[[#This Row],[NEW RATING2]]&gt;0, Table1[[#This Row],[NEW RATING2]],Table1[[#This Row],[Rate]])</f>
        <v>3</v>
      </c>
      <c r="S301">
        <f>IF(Table1[[#This Row],[Rate]] =Table1[[#This Row],[AI RATE]],1, 0)</f>
        <v>1</v>
      </c>
    </row>
    <row r="302" spans="1:19" x14ac:dyDescent="0.35">
      <c r="A302">
        <v>2023</v>
      </c>
      <c r="B302">
        <v>16</v>
      </c>
      <c r="C302">
        <v>16</v>
      </c>
      <c r="D302" t="s">
        <v>472</v>
      </c>
      <c r="F302" t="s">
        <v>511</v>
      </c>
      <c r="G302">
        <v>2</v>
      </c>
      <c r="H302" t="s">
        <v>124</v>
      </c>
      <c r="I302" t="s">
        <v>146</v>
      </c>
      <c r="J302" t="s">
        <v>603</v>
      </c>
      <c r="K302" t="s">
        <v>172</v>
      </c>
      <c r="L302" t="s">
        <v>16</v>
      </c>
      <c r="M302" t="s">
        <v>17</v>
      </c>
      <c r="O302">
        <v>1</v>
      </c>
      <c r="P302" t="s">
        <v>455</v>
      </c>
      <c r="Q302">
        <f>ABS(Table1[[#This Row],[Rate]]-Table1[[#This Row],[AI RATE]])</f>
        <v>1</v>
      </c>
      <c r="R302">
        <f>IF(Table1[[#This Row],[NEW RATING2]]&gt;0, Table1[[#This Row],[NEW RATING2]],Table1[[#This Row],[Rate]])</f>
        <v>2</v>
      </c>
      <c r="S302">
        <f>IF(Table1[[#This Row],[Rate]] =Table1[[#This Row],[AI RATE]],1, 0)</f>
        <v>0</v>
      </c>
    </row>
    <row r="303" spans="1:19" x14ac:dyDescent="0.35">
      <c r="A303">
        <v>2023</v>
      </c>
      <c r="B303">
        <v>17</v>
      </c>
      <c r="C303">
        <v>17</v>
      </c>
      <c r="D303" t="s">
        <v>95</v>
      </c>
      <c r="F303" t="s">
        <v>512</v>
      </c>
      <c r="G303">
        <v>4</v>
      </c>
      <c r="H303" t="s">
        <v>124</v>
      </c>
      <c r="I303" t="s">
        <v>106</v>
      </c>
      <c r="J303" t="s">
        <v>151</v>
      </c>
      <c r="K303" t="s">
        <v>152</v>
      </c>
      <c r="L303" t="s">
        <v>153</v>
      </c>
      <c r="M303" t="s">
        <v>154</v>
      </c>
      <c r="N303" t="s">
        <v>493</v>
      </c>
      <c r="O303">
        <v>4</v>
      </c>
      <c r="P303" t="s">
        <v>455</v>
      </c>
      <c r="Q303">
        <f>ABS(Table1[[#This Row],[Rate]]-Table1[[#This Row],[AI RATE]])</f>
        <v>0</v>
      </c>
      <c r="R303">
        <f>IF(Table1[[#This Row],[NEW RATING2]]&gt;0, Table1[[#This Row],[NEW RATING2]],Table1[[#This Row],[Rate]])</f>
        <v>4</v>
      </c>
      <c r="S303">
        <f>IF(Table1[[#This Row],[Rate]] =Table1[[#This Row],[AI RATE]],1, 0)</f>
        <v>1</v>
      </c>
    </row>
    <row r="304" spans="1:19" x14ac:dyDescent="0.35">
      <c r="A304">
        <v>2023</v>
      </c>
      <c r="B304">
        <v>18</v>
      </c>
      <c r="C304">
        <v>18</v>
      </c>
      <c r="D304" t="s">
        <v>42</v>
      </c>
      <c r="F304" t="s">
        <v>513</v>
      </c>
      <c r="G304">
        <v>4</v>
      </c>
      <c r="H304" t="s">
        <v>51</v>
      </c>
      <c r="I304" t="s">
        <v>109</v>
      </c>
      <c r="J304" t="s">
        <v>603</v>
      </c>
      <c r="K304" t="s">
        <v>172</v>
      </c>
      <c r="L304" t="s">
        <v>16</v>
      </c>
      <c r="M304" t="s">
        <v>17</v>
      </c>
      <c r="O304">
        <v>3</v>
      </c>
      <c r="P304" t="s">
        <v>455</v>
      </c>
      <c r="Q304">
        <f>ABS(Table1[[#This Row],[Rate]]-Table1[[#This Row],[AI RATE]])</f>
        <v>1</v>
      </c>
      <c r="R304">
        <f>IF(Table1[[#This Row],[NEW RATING2]]&gt;0, Table1[[#This Row],[NEW RATING2]],Table1[[#This Row],[Rate]])</f>
        <v>4</v>
      </c>
      <c r="S304">
        <f>IF(Table1[[#This Row],[Rate]] =Table1[[#This Row],[AI RATE]],1, 0)</f>
        <v>0</v>
      </c>
    </row>
    <row r="305" spans="1:20" x14ac:dyDescent="0.35">
      <c r="A305">
        <v>2023</v>
      </c>
      <c r="B305">
        <v>19</v>
      </c>
      <c r="C305">
        <v>19</v>
      </c>
      <c r="D305" t="s">
        <v>30</v>
      </c>
      <c r="F305" t="s">
        <v>514</v>
      </c>
      <c r="G305">
        <v>4</v>
      </c>
      <c r="H305" t="s">
        <v>86</v>
      </c>
      <c r="I305" t="s">
        <v>119</v>
      </c>
      <c r="J305" t="s">
        <v>603</v>
      </c>
      <c r="K305" t="s">
        <v>172</v>
      </c>
      <c r="L305" t="s">
        <v>16</v>
      </c>
      <c r="M305" t="s">
        <v>17</v>
      </c>
      <c r="O305">
        <v>3</v>
      </c>
      <c r="P305" t="s">
        <v>455</v>
      </c>
      <c r="Q305">
        <f>ABS(Table1[[#This Row],[Rate]]-Table1[[#This Row],[AI RATE]])</f>
        <v>1</v>
      </c>
      <c r="R305">
        <f>IF(Table1[[#This Row],[NEW RATING2]]&gt;0, Table1[[#This Row],[NEW RATING2]],Table1[[#This Row],[Rate]])</f>
        <v>4</v>
      </c>
      <c r="S305">
        <f>IF(Table1[[#This Row],[Rate]] =Table1[[#This Row],[AI RATE]],1, 0)</f>
        <v>0</v>
      </c>
    </row>
    <row r="306" spans="1:20" x14ac:dyDescent="0.35">
      <c r="A306">
        <v>2023</v>
      </c>
      <c r="B306">
        <v>20</v>
      </c>
      <c r="C306">
        <v>20</v>
      </c>
      <c r="D306" t="s">
        <v>81</v>
      </c>
      <c r="F306" t="s">
        <v>515</v>
      </c>
      <c r="G306">
        <v>5</v>
      </c>
      <c r="H306" t="s">
        <v>25</v>
      </c>
      <c r="I306" t="s">
        <v>101</v>
      </c>
      <c r="J306" t="s">
        <v>151</v>
      </c>
      <c r="K306" t="s">
        <v>152</v>
      </c>
      <c r="L306" t="s">
        <v>153</v>
      </c>
      <c r="M306" t="s">
        <v>154</v>
      </c>
      <c r="N306" t="s">
        <v>493</v>
      </c>
      <c r="O306">
        <v>4</v>
      </c>
      <c r="P306" t="s">
        <v>455</v>
      </c>
      <c r="Q306">
        <f>ABS(Table1[[#This Row],[Rate]]-Table1[[#This Row],[AI RATE]])</f>
        <v>1</v>
      </c>
      <c r="R306">
        <f>IF(Table1[[#This Row],[NEW RATING2]]&gt;0, Table1[[#This Row],[NEW RATING2]],Table1[[#This Row],[Rate]])</f>
        <v>5</v>
      </c>
      <c r="S306">
        <f>IF(Table1[[#This Row],[Rate]] =Table1[[#This Row],[AI RATE]],1, 0)</f>
        <v>0</v>
      </c>
    </row>
    <row r="307" spans="1:20" x14ac:dyDescent="0.35">
      <c r="A307">
        <v>2023</v>
      </c>
      <c r="B307">
        <v>21</v>
      </c>
      <c r="C307">
        <v>21</v>
      </c>
      <c r="D307" t="s">
        <v>283</v>
      </c>
      <c r="F307" t="s">
        <v>516</v>
      </c>
      <c r="G307">
        <v>3</v>
      </c>
      <c r="H307" t="s">
        <v>25</v>
      </c>
      <c r="I307" t="s">
        <v>141</v>
      </c>
      <c r="J307" t="s">
        <v>603</v>
      </c>
      <c r="K307" t="s">
        <v>517</v>
      </c>
      <c r="L307" t="s">
        <v>199</v>
      </c>
      <c r="M307" t="s">
        <v>154</v>
      </c>
      <c r="N307" t="s">
        <v>518</v>
      </c>
      <c r="O307">
        <v>2</v>
      </c>
      <c r="P307" t="s">
        <v>455</v>
      </c>
      <c r="Q307">
        <f>ABS(Table1[[#This Row],[Rate]]-Table1[[#This Row],[AI RATE]])</f>
        <v>1</v>
      </c>
      <c r="R307">
        <f>IF(Table1[[#This Row],[NEW RATING2]]&gt;0, Table1[[#This Row],[NEW RATING2]],Table1[[#This Row],[Rate]])</f>
        <v>3</v>
      </c>
      <c r="S307">
        <f>IF(Table1[[#This Row],[Rate]] =Table1[[#This Row],[AI RATE]],1, 0)</f>
        <v>0</v>
      </c>
    </row>
    <row r="308" spans="1:20" x14ac:dyDescent="0.35">
      <c r="A308">
        <v>2023</v>
      </c>
      <c r="B308">
        <v>22</v>
      </c>
      <c r="C308">
        <v>22</v>
      </c>
      <c r="D308" t="s">
        <v>74</v>
      </c>
      <c r="F308" t="s">
        <v>519</v>
      </c>
      <c r="G308">
        <v>4</v>
      </c>
      <c r="H308" t="s">
        <v>25</v>
      </c>
      <c r="I308" t="s">
        <v>117</v>
      </c>
      <c r="J308" t="s">
        <v>151</v>
      </c>
      <c r="K308" t="s">
        <v>152</v>
      </c>
      <c r="L308" t="s">
        <v>153</v>
      </c>
      <c r="M308" t="s">
        <v>154</v>
      </c>
      <c r="N308" t="s">
        <v>493</v>
      </c>
      <c r="O308">
        <v>3</v>
      </c>
      <c r="P308" t="s">
        <v>455</v>
      </c>
      <c r="Q308">
        <f>ABS(Table1[[#This Row],[Rate]]-Table1[[#This Row],[AI RATE]])</f>
        <v>1</v>
      </c>
      <c r="R308">
        <f>IF(Table1[[#This Row],[NEW RATING2]]&gt;0, Table1[[#This Row],[NEW RATING2]],Table1[[#This Row],[Rate]])</f>
        <v>4</v>
      </c>
      <c r="S308">
        <f>IF(Table1[[#This Row],[Rate]] =Table1[[#This Row],[AI RATE]],1, 0)</f>
        <v>0</v>
      </c>
    </row>
    <row r="309" spans="1:20" x14ac:dyDescent="0.35">
      <c r="A309">
        <v>2023</v>
      </c>
      <c r="B309">
        <v>23</v>
      </c>
      <c r="C309">
        <v>23</v>
      </c>
      <c r="D309" t="s">
        <v>35</v>
      </c>
      <c r="F309" t="s">
        <v>520</v>
      </c>
      <c r="G309">
        <v>3</v>
      </c>
      <c r="H309" t="s">
        <v>25</v>
      </c>
      <c r="I309" t="s">
        <v>45</v>
      </c>
      <c r="J309" t="s">
        <v>151</v>
      </c>
      <c r="K309" t="s">
        <v>152</v>
      </c>
      <c r="L309" t="s">
        <v>153</v>
      </c>
      <c r="M309" t="s">
        <v>154</v>
      </c>
      <c r="N309" t="s">
        <v>493</v>
      </c>
      <c r="O309">
        <v>3</v>
      </c>
      <c r="P309" t="s">
        <v>455</v>
      </c>
      <c r="Q309">
        <f>ABS(Table1[[#This Row],[Rate]]-Table1[[#This Row],[AI RATE]])</f>
        <v>0</v>
      </c>
      <c r="R309">
        <f>IF(Table1[[#This Row],[NEW RATING2]]&gt;0, Table1[[#This Row],[NEW RATING2]],Table1[[#This Row],[Rate]])</f>
        <v>3</v>
      </c>
      <c r="S309">
        <f>IF(Table1[[#This Row],[Rate]] =Table1[[#This Row],[AI RATE]],1, 0)</f>
        <v>1</v>
      </c>
    </row>
    <row r="310" spans="1:20" x14ac:dyDescent="0.35">
      <c r="A310">
        <v>2023</v>
      </c>
      <c r="B310">
        <v>24</v>
      </c>
      <c r="C310">
        <v>24</v>
      </c>
      <c r="D310" t="s">
        <v>115</v>
      </c>
      <c r="F310" t="s">
        <v>521</v>
      </c>
      <c r="G310">
        <v>1</v>
      </c>
      <c r="H310" t="s">
        <v>124</v>
      </c>
      <c r="I310" t="s">
        <v>52</v>
      </c>
      <c r="J310" t="s">
        <v>603</v>
      </c>
      <c r="K310" t="s">
        <v>172</v>
      </c>
      <c r="L310" t="s">
        <v>16</v>
      </c>
      <c r="M310" t="s">
        <v>17</v>
      </c>
      <c r="O310">
        <v>2</v>
      </c>
      <c r="P310" t="s">
        <v>455</v>
      </c>
      <c r="Q310">
        <f>ABS(Table1[[#This Row],[Rate]]-Table1[[#This Row],[AI RATE]])</f>
        <v>1</v>
      </c>
      <c r="R310">
        <f>IF(Table1[[#This Row],[NEW RATING2]]&gt;0, Table1[[#This Row],[NEW RATING2]],Table1[[#This Row],[Rate]])</f>
        <v>1</v>
      </c>
      <c r="S310">
        <f>IF(Table1[[#This Row],[Rate]] =Table1[[#This Row],[AI RATE]],1, 0)</f>
        <v>0</v>
      </c>
    </row>
    <row r="311" spans="1:20" x14ac:dyDescent="0.35">
      <c r="A311">
        <v>2023</v>
      </c>
      <c r="B311">
        <v>25</v>
      </c>
      <c r="C311">
        <v>25</v>
      </c>
      <c r="D311" t="s">
        <v>102</v>
      </c>
      <c r="F311" t="s">
        <v>522</v>
      </c>
      <c r="G311">
        <v>3</v>
      </c>
      <c r="H311" t="s">
        <v>92</v>
      </c>
      <c r="I311" t="s">
        <v>15</v>
      </c>
      <c r="J311" t="s">
        <v>603</v>
      </c>
      <c r="K311" t="s">
        <v>172</v>
      </c>
      <c r="L311" t="s">
        <v>16</v>
      </c>
      <c r="M311" t="s">
        <v>17</v>
      </c>
      <c r="O311">
        <v>3</v>
      </c>
      <c r="P311" t="s">
        <v>455</v>
      </c>
      <c r="Q311">
        <f>ABS(Table1[[#This Row],[Rate]]-Table1[[#This Row],[AI RATE]])</f>
        <v>0</v>
      </c>
      <c r="R311">
        <f>IF(Table1[[#This Row],[NEW RATING2]]&gt;0, Table1[[#This Row],[NEW RATING2]],Table1[[#This Row],[Rate]])</f>
        <v>3</v>
      </c>
      <c r="S311">
        <f>IF(Table1[[#This Row],[Rate]] =Table1[[#This Row],[AI RATE]],1, 0)</f>
        <v>1</v>
      </c>
    </row>
    <row r="312" spans="1:20" x14ac:dyDescent="0.35">
      <c r="A312">
        <v>2023</v>
      </c>
      <c r="B312">
        <v>26</v>
      </c>
      <c r="C312">
        <v>26</v>
      </c>
      <c r="D312" t="s">
        <v>46</v>
      </c>
      <c r="F312" t="s">
        <v>523</v>
      </c>
      <c r="G312">
        <v>3</v>
      </c>
      <c r="H312" t="s">
        <v>86</v>
      </c>
      <c r="I312" t="s">
        <v>26</v>
      </c>
      <c r="J312" t="s">
        <v>603</v>
      </c>
      <c r="K312" t="s">
        <v>172</v>
      </c>
      <c r="L312" t="s">
        <v>16</v>
      </c>
      <c r="M312" t="s">
        <v>17</v>
      </c>
      <c r="O312">
        <v>1</v>
      </c>
      <c r="P312" t="s">
        <v>455</v>
      </c>
      <c r="Q312">
        <f>ABS(Table1[[#This Row],[Rate]]-Table1[[#This Row],[AI RATE]])</f>
        <v>2</v>
      </c>
      <c r="R312">
        <f>IF(Table1[[#This Row],[NEW RATING2]]&gt;0, Table1[[#This Row],[NEW RATING2]],Table1[[#This Row],[Rate]])</f>
        <v>1</v>
      </c>
      <c r="S312">
        <f>IF(Table1[[#This Row],[Rate]] =Table1[[#This Row],[AI RATE]],1, 0)</f>
        <v>0</v>
      </c>
      <c r="T312">
        <v>1</v>
      </c>
    </row>
    <row r="313" spans="1:20" x14ac:dyDescent="0.35">
      <c r="A313">
        <v>2023</v>
      </c>
      <c r="B313">
        <v>27</v>
      </c>
      <c r="C313">
        <v>27</v>
      </c>
      <c r="D313" t="s">
        <v>71</v>
      </c>
      <c r="F313" t="s">
        <v>524</v>
      </c>
      <c r="G313">
        <v>3</v>
      </c>
      <c r="H313" t="s">
        <v>55</v>
      </c>
      <c r="I313" t="s">
        <v>56</v>
      </c>
      <c r="J313" t="s">
        <v>603</v>
      </c>
      <c r="K313" t="s">
        <v>172</v>
      </c>
      <c r="L313" t="s">
        <v>16</v>
      </c>
      <c r="M313" t="s">
        <v>17</v>
      </c>
      <c r="O313">
        <v>2</v>
      </c>
      <c r="P313" t="s">
        <v>455</v>
      </c>
      <c r="Q313">
        <f>ABS(Table1[[#This Row],[Rate]]-Table1[[#This Row],[AI RATE]])</f>
        <v>1</v>
      </c>
      <c r="R313">
        <f>IF(Table1[[#This Row],[NEW RATING2]]&gt;0, Table1[[#This Row],[NEW RATING2]],Table1[[#This Row],[Rate]])</f>
        <v>3</v>
      </c>
      <c r="S313">
        <f>IF(Table1[[#This Row],[Rate]] =Table1[[#This Row],[AI RATE]],1, 0)</f>
        <v>0</v>
      </c>
    </row>
    <row r="314" spans="1:20" x14ac:dyDescent="0.35">
      <c r="A314">
        <v>2023</v>
      </c>
      <c r="B314">
        <v>28</v>
      </c>
      <c r="C314">
        <v>28</v>
      </c>
      <c r="D314" t="s">
        <v>65</v>
      </c>
      <c r="F314" t="s">
        <v>525</v>
      </c>
      <c r="G314">
        <v>2</v>
      </c>
      <c r="H314" t="s">
        <v>454</v>
      </c>
      <c r="I314" t="s">
        <v>107</v>
      </c>
      <c r="J314" t="s">
        <v>603</v>
      </c>
      <c r="K314" t="s">
        <v>172</v>
      </c>
      <c r="L314" t="s">
        <v>16</v>
      </c>
      <c r="M314" t="s">
        <v>17</v>
      </c>
      <c r="O314">
        <v>2</v>
      </c>
      <c r="P314" t="s">
        <v>455</v>
      </c>
      <c r="Q314">
        <f>ABS(Table1[[#This Row],[Rate]]-Table1[[#This Row],[AI RATE]])</f>
        <v>0</v>
      </c>
      <c r="R314">
        <f>IF(Table1[[#This Row],[NEW RATING2]]&gt;0, Table1[[#This Row],[NEW RATING2]],Table1[[#This Row],[Rate]])</f>
        <v>2</v>
      </c>
      <c r="S314">
        <f>IF(Table1[[#This Row],[Rate]] =Table1[[#This Row],[AI RATE]],1, 0)</f>
        <v>1</v>
      </c>
    </row>
    <row r="315" spans="1:20" x14ac:dyDescent="0.35">
      <c r="A315">
        <v>2023</v>
      </c>
      <c r="B315">
        <v>29</v>
      </c>
      <c r="C315">
        <v>29</v>
      </c>
      <c r="D315" t="s">
        <v>53</v>
      </c>
      <c r="F315" t="s">
        <v>526</v>
      </c>
      <c r="G315">
        <v>3</v>
      </c>
      <c r="H315" t="s">
        <v>86</v>
      </c>
      <c r="I315" t="s">
        <v>107</v>
      </c>
      <c r="J315" t="s">
        <v>603</v>
      </c>
      <c r="K315" t="s">
        <v>172</v>
      </c>
      <c r="L315" t="s">
        <v>16</v>
      </c>
      <c r="M315" t="s">
        <v>17</v>
      </c>
      <c r="O315">
        <v>3</v>
      </c>
      <c r="P315" t="s">
        <v>455</v>
      </c>
      <c r="Q315">
        <f>ABS(Table1[[#This Row],[Rate]]-Table1[[#This Row],[AI RATE]])</f>
        <v>0</v>
      </c>
      <c r="R315">
        <f>IF(Table1[[#This Row],[NEW RATING2]]&gt;0, Table1[[#This Row],[NEW RATING2]],Table1[[#This Row],[Rate]])</f>
        <v>3</v>
      </c>
      <c r="S315">
        <f>IF(Table1[[#This Row],[Rate]] =Table1[[#This Row],[AI RATE]],1, 0)</f>
        <v>1</v>
      </c>
    </row>
    <row r="316" spans="1:20" x14ac:dyDescent="0.35">
      <c r="A316">
        <v>2023</v>
      </c>
      <c r="B316">
        <v>30</v>
      </c>
      <c r="C316">
        <v>30</v>
      </c>
      <c r="D316" t="s">
        <v>93</v>
      </c>
      <c r="F316" t="s">
        <v>527</v>
      </c>
      <c r="G316">
        <v>3</v>
      </c>
      <c r="H316" t="s">
        <v>454</v>
      </c>
      <c r="I316" t="s">
        <v>59</v>
      </c>
      <c r="J316" t="s">
        <v>603</v>
      </c>
      <c r="K316" t="s">
        <v>172</v>
      </c>
      <c r="L316" t="s">
        <v>16</v>
      </c>
      <c r="M316" t="s">
        <v>17</v>
      </c>
      <c r="O316">
        <v>3</v>
      </c>
      <c r="P316" t="s">
        <v>455</v>
      </c>
      <c r="Q316">
        <f>ABS(Table1[[#This Row],[Rate]]-Table1[[#This Row],[AI RATE]])</f>
        <v>0</v>
      </c>
      <c r="R316">
        <f>IF(Table1[[#This Row],[NEW RATING2]]&gt;0, Table1[[#This Row],[NEW RATING2]],Table1[[#This Row],[Rate]])</f>
        <v>3</v>
      </c>
      <c r="S316">
        <f>IF(Table1[[#This Row],[Rate]] =Table1[[#This Row],[AI RATE]],1, 0)</f>
        <v>1</v>
      </c>
    </row>
    <row r="317" spans="1:20" x14ac:dyDescent="0.35">
      <c r="A317">
        <v>2023</v>
      </c>
      <c r="B317">
        <v>31</v>
      </c>
      <c r="C317">
        <v>31</v>
      </c>
      <c r="D317" t="s">
        <v>60</v>
      </c>
      <c r="F317" t="s">
        <v>528</v>
      </c>
      <c r="G317">
        <v>3</v>
      </c>
      <c r="H317" t="s">
        <v>454</v>
      </c>
      <c r="I317" t="s">
        <v>136</v>
      </c>
      <c r="J317" t="s">
        <v>603</v>
      </c>
      <c r="K317" t="s">
        <v>172</v>
      </c>
      <c r="L317" t="s">
        <v>16</v>
      </c>
      <c r="M317" t="s">
        <v>17</v>
      </c>
      <c r="O317">
        <v>2</v>
      </c>
      <c r="P317" t="s">
        <v>455</v>
      </c>
      <c r="Q317">
        <f>ABS(Table1[[#This Row],[Rate]]-Table1[[#This Row],[AI RATE]])</f>
        <v>1</v>
      </c>
      <c r="R317">
        <f>IF(Table1[[#This Row],[NEW RATING2]]&gt;0, Table1[[#This Row],[NEW RATING2]],Table1[[#This Row],[Rate]])</f>
        <v>3</v>
      </c>
      <c r="S317">
        <f>IF(Table1[[#This Row],[Rate]] =Table1[[#This Row],[AI RATE]],1, 0)</f>
        <v>0</v>
      </c>
    </row>
    <row r="318" spans="1:20" x14ac:dyDescent="0.35">
      <c r="A318">
        <v>2024</v>
      </c>
      <c r="B318">
        <v>1</v>
      </c>
      <c r="C318">
        <v>1</v>
      </c>
      <c r="D318" t="s">
        <v>27</v>
      </c>
      <c r="F318" t="s">
        <v>529</v>
      </c>
      <c r="G318">
        <v>4</v>
      </c>
      <c r="H318" t="s">
        <v>14</v>
      </c>
      <c r="I318" t="s">
        <v>45</v>
      </c>
      <c r="J318" t="s">
        <v>151</v>
      </c>
      <c r="K318" t="s">
        <v>152</v>
      </c>
      <c r="L318" t="s">
        <v>153</v>
      </c>
      <c r="M318" t="s">
        <v>154</v>
      </c>
      <c r="N318" t="s">
        <v>530</v>
      </c>
      <c r="O318">
        <v>3</v>
      </c>
      <c r="P318" t="s">
        <v>455</v>
      </c>
      <c r="Q318">
        <f>ABS(Table1[[#This Row],[Rate]]-Table1[[#This Row],[AI RATE]])</f>
        <v>1</v>
      </c>
      <c r="R318">
        <f>IF(Table1[[#This Row],[NEW RATING2]]&gt;0, Table1[[#This Row],[NEW RATING2]],Table1[[#This Row],[Rate]])</f>
        <v>4</v>
      </c>
      <c r="S318">
        <f>IF(Table1[[#This Row],[Rate]] =Table1[[#This Row],[AI RATE]],1, 0)</f>
        <v>0</v>
      </c>
    </row>
    <row r="319" spans="1:20" x14ac:dyDescent="0.35">
      <c r="A319">
        <v>2024</v>
      </c>
      <c r="B319">
        <v>2</v>
      </c>
      <c r="C319">
        <v>2</v>
      </c>
      <c r="D319" t="s">
        <v>472</v>
      </c>
      <c r="F319" t="s">
        <v>531</v>
      </c>
      <c r="G319">
        <v>4</v>
      </c>
      <c r="H319" t="s">
        <v>14</v>
      </c>
      <c r="I319" t="s">
        <v>70</v>
      </c>
      <c r="J319" t="s">
        <v>151</v>
      </c>
      <c r="K319" t="s">
        <v>152</v>
      </c>
      <c r="L319" t="s">
        <v>153</v>
      </c>
      <c r="M319" t="s">
        <v>154</v>
      </c>
      <c r="N319" t="s">
        <v>530</v>
      </c>
      <c r="O319">
        <v>3</v>
      </c>
      <c r="P319" t="s">
        <v>455</v>
      </c>
      <c r="Q319">
        <f>ABS(Table1[[#This Row],[Rate]]-Table1[[#This Row],[AI RATE]])</f>
        <v>1</v>
      </c>
      <c r="R319">
        <f>IF(Table1[[#This Row],[NEW RATING2]]&gt;0, Table1[[#This Row],[NEW RATING2]],Table1[[#This Row],[Rate]])</f>
        <v>4</v>
      </c>
      <c r="S319">
        <f>IF(Table1[[#This Row],[Rate]] =Table1[[#This Row],[AI RATE]],1, 0)</f>
        <v>0</v>
      </c>
    </row>
    <row r="320" spans="1:20" x14ac:dyDescent="0.35">
      <c r="A320">
        <v>2024</v>
      </c>
      <c r="B320">
        <v>3</v>
      </c>
      <c r="C320">
        <v>3</v>
      </c>
      <c r="D320" t="s">
        <v>95</v>
      </c>
      <c r="F320" t="s">
        <v>532</v>
      </c>
      <c r="G320">
        <v>4</v>
      </c>
      <c r="H320" t="s">
        <v>14</v>
      </c>
      <c r="I320" t="s">
        <v>129</v>
      </c>
      <c r="J320" t="s">
        <v>151</v>
      </c>
      <c r="K320" t="s">
        <v>152</v>
      </c>
      <c r="L320" t="s">
        <v>153</v>
      </c>
      <c r="M320" t="s">
        <v>154</v>
      </c>
      <c r="N320" t="s">
        <v>530</v>
      </c>
      <c r="O320">
        <v>3</v>
      </c>
      <c r="P320" t="s">
        <v>455</v>
      </c>
      <c r="Q320">
        <f>ABS(Table1[[#This Row],[Rate]]-Table1[[#This Row],[AI RATE]])</f>
        <v>1</v>
      </c>
      <c r="R320">
        <f>IF(Table1[[#This Row],[NEW RATING2]]&gt;0, Table1[[#This Row],[NEW RATING2]],Table1[[#This Row],[Rate]])</f>
        <v>4</v>
      </c>
      <c r="S320">
        <f>IF(Table1[[#This Row],[Rate]] =Table1[[#This Row],[AI RATE]],1, 0)</f>
        <v>0</v>
      </c>
    </row>
    <row r="321" spans="1:20" x14ac:dyDescent="0.35">
      <c r="A321">
        <v>2024</v>
      </c>
      <c r="B321">
        <v>4</v>
      </c>
      <c r="C321">
        <v>4</v>
      </c>
      <c r="D321" t="s">
        <v>38</v>
      </c>
      <c r="F321" t="s">
        <v>533</v>
      </c>
      <c r="G321">
        <v>3</v>
      </c>
      <c r="H321" t="s">
        <v>25</v>
      </c>
      <c r="I321" t="s">
        <v>101</v>
      </c>
      <c r="J321" t="s">
        <v>151</v>
      </c>
      <c r="K321" t="s">
        <v>152</v>
      </c>
      <c r="L321" t="s">
        <v>153</v>
      </c>
      <c r="M321" t="s">
        <v>154</v>
      </c>
      <c r="N321" t="s">
        <v>530</v>
      </c>
      <c r="O321">
        <v>3</v>
      </c>
      <c r="P321" t="s">
        <v>455</v>
      </c>
      <c r="Q321">
        <f>ABS(Table1[[#This Row],[Rate]]-Table1[[#This Row],[AI RATE]])</f>
        <v>0</v>
      </c>
      <c r="R321">
        <f>IF(Table1[[#This Row],[NEW RATING2]]&gt;0, Table1[[#This Row],[NEW RATING2]],Table1[[#This Row],[Rate]])</f>
        <v>3</v>
      </c>
      <c r="S321">
        <f>IF(Table1[[#This Row],[Rate]] =Table1[[#This Row],[AI RATE]],1, 0)</f>
        <v>1</v>
      </c>
    </row>
    <row r="322" spans="1:20" x14ac:dyDescent="0.35">
      <c r="A322">
        <v>2024</v>
      </c>
      <c r="B322">
        <v>5</v>
      </c>
      <c r="C322">
        <v>5</v>
      </c>
      <c r="D322" t="s">
        <v>283</v>
      </c>
      <c r="F322" t="s">
        <v>534</v>
      </c>
      <c r="G322">
        <v>4</v>
      </c>
      <c r="H322" t="s">
        <v>55</v>
      </c>
      <c r="I322" t="s">
        <v>121</v>
      </c>
      <c r="J322" t="s">
        <v>603</v>
      </c>
      <c r="K322" t="s">
        <v>172</v>
      </c>
      <c r="L322" t="s">
        <v>16</v>
      </c>
      <c r="M322" t="s">
        <v>17</v>
      </c>
      <c r="O322">
        <v>3</v>
      </c>
      <c r="P322" t="s">
        <v>455</v>
      </c>
      <c r="Q322">
        <f>ABS(Table1[[#This Row],[Rate]]-Table1[[#This Row],[AI RATE]])</f>
        <v>1</v>
      </c>
      <c r="R322">
        <f>IF(Table1[[#This Row],[NEW RATING2]]&gt;0, Table1[[#This Row],[NEW RATING2]],Table1[[#This Row],[Rate]])</f>
        <v>4</v>
      </c>
      <c r="S322">
        <f>IF(Table1[[#This Row],[Rate]] =Table1[[#This Row],[AI RATE]],1, 0)</f>
        <v>0</v>
      </c>
    </row>
    <row r="323" spans="1:20" x14ac:dyDescent="0.35">
      <c r="A323">
        <v>2024</v>
      </c>
      <c r="B323">
        <v>6</v>
      </c>
      <c r="C323">
        <v>6</v>
      </c>
      <c r="D323" t="s">
        <v>115</v>
      </c>
      <c r="F323" t="s">
        <v>535</v>
      </c>
      <c r="G323">
        <v>4</v>
      </c>
      <c r="H323" t="s">
        <v>25</v>
      </c>
      <c r="I323" t="s">
        <v>70</v>
      </c>
      <c r="J323" t="s">
        <v>151</v>
      </c>
      <c r="K323" t="s">
        <v>152</v>
      </c>
      <c r="L323" t="s">
        <v>153</v>
      </c>
      <c r="M323" t="s">
        <v>154</v>
      </c>
      <c r="N323" t="s">
        <v>530</v>
      </c>
      <c r="O323">
        <v>3</v>
      </c>
      <c r="P323" t="s">
        <v>455</v>
      </c>
      <c r="Q323">
        <f>ABS(Table1[[#This Row],[Rate]]-Table1[[#This Row],[AI RATE]])</f>
        <v>1</v>
      </c>
      <c r="R323">
        <f>IF(Table1[[#This Row],[NEW RATING2]]&gt;0, Table1[[#This Row],[NEW RATING2]],Table1[[#This Row],[Rate]])</f>
        <v>4</v>
      </c>
      <c r="S323">
        <f>IF(Table1[[#This Row],[Rate]] =Table1[[#This Row],[AI RATE]],1, 0)</f>
        <v>0</v>
      </c>
    </row>
    <row r="324" spans="1:20" x14ac:dyDescent="0.35">
      <c r="A324">
        <v>2024</v>
      </c>
      <c r="B324">
        <v>7</v>
      </c>
      <c r="C324">
        <v>7</v>
      </c>
      <c r="D324" t="s">
        <v>32</v>
      </c>
      <c r="F324" t="s">
        <v>536</v>
      </c>
      <c r="G324">
        <v>3</v>
      </c>
      <c r="H324" t="s">
        <v>55</v>
      </c>
      <c r="I324" t="s">
        <v>133</v>
      </c>
      <c r="J324" t="s">
        <v>151</v>
      </c>
      <c r="K324" t="s">
        <v>152</v>
      </c>
      <c r="L324" t="s">
        <v>153</v>
      </c>
      <c r="M324" t="s">
        <v>154</v>
      </c>
      <c r="N324" t="s">
        <v>530</v>
      </c>
      <c r="O324">
        <v>3</v>
      </c>
      <c r="P324" t="s">
        <v>455</v>
      </c>
      <c r="Q324">
        <f>ABS(Table1[[#This Row],[Rate]]-Table1[[#This Row],[AI RATE]])</f>
        <v>0</v>
      </c>
      <c r="R324">
        <f>IF(Table1[[#This Row],[NEW RATING2]]&gt;0, Table1[[#This Row],[NEW RATING2]],Table1[[#This Row],[Rate]])</f>
        <v>3</v>
      </c>
      <c r="S324">
        <f>IF(Table1[[#This Row],[Rate]] =Table1[[#This Row],[AI RATE]],1, 0)</f>
        <v>1</v>
      </c>
    </row>
    <row r="325" spans="1:20" x14ac:dyDescent="0.35">
      <c r="A325">
        <v>2024</v>
      </c>
      <c r="B325">
        <v>8</v>
      </c>
      <c r="C325">
        <v>8</v>
      </c>
      <c r="D325" t="s">
        <v>84</v>
      </c>
      <c r="F325" t="s">
        <v>537</v>
      </c>
      <c r="G325">
        <v>3</v>
      </c>
      <c r="H325" t="s">
        <v>14</v>
      </c>
      <c r="I325" t="s">
        <v>143</v>
      </c>
      <c r="J325" t="s">
        <v>603</v>
      </c>
      <c r="K325" t="s">
        <v>172</v>
      </c>
      <c r="L325" t="s">
        <v>16</v>
      </c>
      <c r="M325" t="s">
        <v>17</v>
      </c>
      <c r="O325">
        <v>3</v>
      </c>
      <c r="P325" t="s">
        <v>455</v>
      </c>
      <c r="Q325">
        <f>ABS(Table1[[#This Row],[Rate]]-Table1[[#This Row],[AI RATE]])</f>
        <v>0</v>
      </c>
      <c r="R325">
        <f>IF(Table1[[#This Row],[NEW RATING2]]&gt;0, Table1[[#This Row],[NEW RATING2]],Table1[[#This Row],[Rate]])</f>
        <v>3</v>
      </c>
      <c r="S325">
        <f>IF(Table1[[#This Row],[Rate]] =Table1[[#This Row],[AI RATE]],1, 0)</f>
        <v>1</v>
      </c>
    </row>
    <row r="326" spans="1:20" x14ac:dyDescent="0.35">
      <c r="A326">
        <v>2024</v>
      </c>
      <c r="B326">
        <v>9</v>
      </c>
      <c r="C326">
        <v>9</v>
      </c>
      <c r="D326" t="s">
        <v>27</v>
      </c>
      <c r="F326" t="s">
        <v>538</v>
      </c>
      <c r="G326">
        <v>3</v>
      </c>
      <c r="H326" t="s">
        <v>25</v>
      </c>
      <c r="I326" t="s">
        <v>143</v>
      </c>
      <c r="J326" t="s">
        <v>151</v>
      </c>
      <c r="K326" t="s">
        <v>152</v>
      </c>
      <c r="L326" t="s">
        <v>153</v>
      </c>
      <c r="M326" t="s">
        <v>154</v>
      </c>
      <c r="N326" t="s">
        <v>530</v>
      </c>
      <c r="O326">
        <v>3</v>
      </c>
      <c r="P326" t="s">
        <v>455</v>
      </c>
      <c r="Q326">
        <f>ABS(Table1[[#This Row],[Rate]]-Table1[[#This Row],[AI RATE]])</f>
        <v>0</v>
      </c>
      <c r="R326">
        <f>IF(Table1[[#This Row],[NEW RATING2]]&gt;0, Table1[[#This Row],[NEW RATING2]],Table1[[#This Row],[Rate]])</f>
        <v>3</v>
      </c>
      <c r="S326">
        <f>IF(Table1[[#This Row],[Rate]] =Table1[[#This Row],[AI RATE]],1, 0)</f>
        <v>1</v>
      </c>
    </row>
    <row r="327" spans="1:20" x14ac:dyDescent="0.35">
      <c r="A327">
        <v>2024</v>
      </c>
      <c r="B327">
        <v>10</v>
      </c>
      <c r="C327">
        <v>10</v>
      </c>
      <c r="D327" t="s">
        <v>35</v>
      </c>
      <c r="F327" t="s">
        <v>539</v>
      </c>
      <c r="G327">
        <v>2</v>
      </c>
      <c r="H327" t="s">
        <v>14</v>
      </c>
      <c r="I327" t="s">
        <v>26</v>
      </c>
      <c r="J327" t="s">
        <v>603</v>
      </c>
      <c r="K327" t="s">
        <v>172</v>
      </c>
      <c r="L327" t="s">
        <v>16</v>
      </c>
      <c r="M327" t="s">
        <v>17</v>
      </c>
      <c r="O327">
        <v>3</v>
      </c>
      <c r="P327" t="s">
        <v>455</v>
      </c>
      <c r="Q327">
        <f>ABS(Table1[[#This Row],[Rate]]-Table1[[#This Row],[AI RATE]])</f>
        <v>1</v>
      </c>
      <c r="R327">
        <f>IF(Table1[[#This Row],[NEW RATING2]]&gt;0, Table1[[#This Row],[NEW RATING2]],Table1[[#This Row],[Rate]])</f>
        <v>2</v>
      </c>
      <c r="S327">
        <f>IF(Table1[[#This Row],[Rate]] =Table1[[#This Row],[AI RATE]],1, 0)</f>
        <v>0</v>
      </c>
    </row>
    <row r="328" spans="1:20" x14ac:dyDescent="0.35">
      <c r="A328">
        <v>2024</v>
      </c>
      <c r="B328">
        <v>11</v>
      </c>
      <c r="C328">
        <v>11</v>
      </c>
      <c r="D328" t="s">
        <v>99</v>
      </c>
      <c r="F328" t="s">
        <v>540</v>
      </c>
      <c r="G328">
        <v>3</v>
      </c>
      <c r="H328" t="s">
        <v>55</v>
      </c>
      <c r="I328" t="s">
        <v>110</v>
      </c>
      <c r="J328" t="s">
        <v>603</v>
      </c>
      <c r="K328" t="s">
        <v>172</v>
      </c>
      <c r="L328" t="s">
        <v>16</v>
      </c>
      <c r="M328" t="s">
        <v>17</v>
      </c>
      <c r="O328">
        <v>3</v>
      </c>
      <c r="P328" t="s">
        <v>455</v>
      </c>
      <c r="Q328">
        <f>ABS(Table1[[#This Row],[Rate]]-Table1[[#This Row],[AI RATE]])</f>
        <v>0</v>
      </c>
      <c r="R328">
        <f>IF(Table1[[#This Row],[NEW RATING2]]&gt;0, Table1[[#This Row],[NEW RATING2]],Table1[[#This Row],[Rate]])</f>
        <v>3</v>
      </c>
      <c r="S328">
        <f>IF(Table1[[#This Row],[Rate]] =Table1[[#This Row],[AI RATE]],1, 0)</f>
        <v>1</v>
      </c>
    </row>
    <row r="329" spans="1:20" x14ac:dyDescent="0.35">
      <c r="A329">
        <v>2024</v>
      </c>
      <c r="B329">
        <v>12</v>
      </c>
      <c r="C329">
        <v>12</v>
      </c>
      <c r="D329" t="s">
        <v>104</v>
      </c>
      <c r="F329" t="s">
        <v>541</v>
      </c>
      <c r="G329">
        <v>4</v>
      </c>
      <c r="H329" t="s">
        <v>14</v>
      </c>
      <c r="I329" t="s">
        <v>106</v>
      </c>
      <c r="J329" t="s">
        <v>603</v>
      </c>
      <c r="K329" t="s">
        <v>172</v>
      </c>
      <c r="L329" t="s">
        <v>16</v>
      </c>
      <c r="M329" t="s">
        <v>17</v>
      </c>
      <c r="O329">
        <v>3</v>
      </c>
      <c r="P329" t="s">
        <v>455</v>
      </c>
      <c r="Q329">
        <f>ABS(Table1[[#This Row],[Rate]]-Table1[[#This Row],[AI RATE]])</f>
        <v>1</v>
      </c>
      <c r="R329">
        <f>IF(Table1[[#This Row],[NEW RATING2]]&gt;0, Table1[[#This Row],[NEW RATING2]],Table1[[#This Row],[Rate]])</f>
        <v>4</v>
      </c>
      <c r="S329">
        <f>IF(Table1[[#This Row],[Rate]] =Table1[[#This Row],[AI RATE]],1, 0)</f>
        <v>0</v>
      </c>
    </row>
    <row r="330" spans="1:20" x14ac:dyDescent="0.35">
      <c r="A330">
        <v>2024</v>
      </c>
      <c r="B330">
        <v>13</v>
      </c>
      <c r="C330">
        <v>13</v>
      </c>
      <c r="D330" t="s">
        <v>394</v>
      </c>
      <c r="F330" t="s">
        <v>542</v>
      </c>
      <c r="G330">
        <v>5</v>
      </c>
      <c r="H330" t="s">
        <v>92</v>
      </c>
      <c r="I330" t="s">
        <v>59</v>
      </c>
      <c r="J330" t="s">
        <v>603</v>
      </c>
      <c r="K330" t="s">
        <v>172</v>
      </c>
      <c r="L330" t="s">
        <v>16</v>
      </c>
      <c r="M330" t="s">
        <v>17</v>
      </c>
      <c r="O330">
        <v>3</v>
      </c>
      <c r="P330" t="s">
        <v>455</v>
      </c>
      <c r="Q330">
        <f>ABS(Table1[[#This Row],[Rate]]-Table1[[#This Row],[AI RATE]])</f>
        <v>2</v>
      </c>
      <c r="R330">
        <f>IF(Table1[[#This Row],[NEW RATING2]]&gt;0, Table1[[#This Row],[NEW RATING2]],Table1[[#This Row],[Rate]])</f>
        <v>5</v>
      </c>
      <c r="S330">
        <f>IF(Table1[[#This Row],[Rate]] =Table1[[#This Row],[AI RATE]],1, 0)</f>
        <v>0</v>
      </c>
      <c r="T330">
        <v>5</v>
      </c>
    </row>
    <row r="331" spans="1:20" x14ac:dyDescent="0.35">
      <c r="A331">
        <v>2024</v>
      </c>
      <c r="B331">
        <v>14</v>
      </c>
      <c r="C331">
        <v>14</v>
      </c>
      <c r="D331" t="s">
        <v>53</v>
      </c>
      <c r="F331" t="s">
        <v>543</v>
      </c>
      <c r="G331">
        <v>3</v>
      </c>
      <c r="H331" t="s">
        <v>55</v>
      </c>
      <c r="I331" t="s">
        <v>181</v>
      </c>
      <c r="J331" t="s">
        <v>603</v>
      </c>
      <c r="K331" t="s">
        <v>172</v>
      </c>
      <c r="L331" t="s">
        <v>16</v>
      </c>
      <c r="M331" t="s">
        <v>17</v>
      </c>
      <c r="O331">
        <v>3</v>
      </c>
      <c r="P331" t="s">
        <v>455</v>
      </c>
      <c r="Q331">
        <f>ABS(Table1[[#This Row],[Rate]]-Table1[[#This Row],[AI RATE]])</f>
        <v>0</v>
      </c>
      <c r="R331">
        <f>IF(Table1[[#This Row],[NEW RATING2]]&gt;0, Table1[[#This Row],[NEW RATING2]],Table1[[#This Row],[Rate]])</f>
        <v>3</v>
      </c>
      <c r="S331">
        <f>IF(Table1[[#This Row],[Rate]] =Table1[[#This Row],[AI RATE]],1, 0)</f>
        <v>1</v>
      </c>
    </row>
    <row r="332" spans="1:20" x14ac:dyDescent="0.35">
      <c r="A332">
        <v>2024</v>
      </c>
      <c r="B332">
        <v>15</v>
      </c>
      <c r="C332">
        <v>15</v>
      </c>
      <c r="D332" t="s">
        <v>88</v>
      </c>
      <c r="F332" t="s">
        <v>544</v>
      </c>
      <c r="G332">
        <v>4</v>
      </c>
      <c r="H332" t="s">
        <v>454</v>
      </c>
      <c r="I332" t="s">
        <v>113</v>
      </c>
      <c r="J332" t="s">
        <v>151</v>
      </c>
      <c r="K332" t="s">
        <v>152</v>
      </c>
      <c r="L332" t="s">
        <v>153</v>
      </c>
      <c r="M332" t="s">
        <v>154</v>
      </c>
      <c r="N332" t="s">
        <v>530</v>
      </c>
      <c r="O332">
        <v>3</v>
      </c>
      <c r="P332" t="s">
        <v>455</v>
      </c>
      <c r="Q332">
        <f>ABS(Table1[[#This Row],[Rate]]-Table1[[#This Row],[AI RATE]])</f>
        <v>1</v>
      </c>
      <c r="R332">
        <f>IF(Table1[[#This Row],[NEW RATING2]]&gt;0, Table1[[#This Row],[NEW RATING2]],Table1[[#This Row],[Rate]])</f>
        <v>4</v>
      </c>
      <c r="S332">
        <f>IF(Table1[[#This Row],[Rate]] =Table1[[#This Row],[AI RATE]],1, 0)</f>
        <v>0</v>
      </c>
    </row>
    <row r="333" spans="1:20" x14ac:dyDescent="0.35">
      <c r="A333">
        <v>2024</v>
      </c>
      <c r="B333">
        <v>16</v>
      </c>
      <c r="C333">
        <v>16</v>
      </c>
      <c r="D333" t="s">
        <v>81</v>
      </c>
      <c r="F333" t="s">
        <v>545</v>
      </c>
      <c r="G333">
        <v>4</v>
      </c>
      <c r="H333" t="s">
        <v>86</v>
      </c>
      <c r="I333" t="s">
        <v>29</v>
      </c>
      <c r="J333" t="s">
        <v>603</v>
      </c>
      <c r="K333" t="s">
        <v>172</v>
      </c>
      <c r="L333" t="s">
        <v>16</v>
      </c>
      <c r="M333" t="s">
        <v>17</v>
      </c>
      <c r="O333">
        <v>3</v>
      </c>
      <c r="P333" t="s">
        <v>455</v>
      </c>
      <c r="Q333">
        <f>ABS(Table1[[#This Row],[Rate]]-Table1[[#This Row],[AI RATE]])</f>
        <v>1</v>
      </c>
      <c r="R333">
        <f>IF(Table1[[#This Row],[NEW RATING2]]&gt;0, Table1[[#This Row],[NEW RATING2]],Table1[[#This Row],[Rate]])</f>
        <v>4</v>
      </c>
      <c r="S333">
        <f>IF(Table1[[#This Row],[Rate]] =Table1[[#This Row],[AI RATE]],1, 0)</f>
        <v>0</v>
      </c>
    </row>
    <row r="334" spans="1:20" x14ac:dyDescent="0.35">
      <c r="A334">
        <v>2024</v>
      </c>
      <c r="B334">
        <v>17</v>
      </c>
      <c r="C334">
        <v>17</v>
      </c>
      <c r="D334" t="s">
        <v>35</v>
      </c>
      <c r="F334" t="s">
        <v>546</v>
      </c>
      <c r="G334">
        <v>3</v>
      </c>
      <c r="H334" t="s">
        <v>496</v>
      </c>
      <c r="I334" t="s">
        <v>133</v>
      </c>
      <c r="J334" t="s">
        <v>151</v>
      </c>
      <c r="K334" t="s">
        <v>152</v>
      </c>
      <c r="L334" t="s">
        <v>153</v>
      </c>
      <c r="M334" t="s">
        <v>154</v>
      </c>
      <c r="N334" t="s">
        <v>530</v>
      </c>
      <c r="O334">
        <v>3</v>
      </c>
      <c r="P334" t="s">
        <v>455</v>
      </c>
      <c r="Q334">
        <f>ABS(Table1[[#This Row],[Rate]]-Table1[[#This Row],[AI RATE]])</f>
        <v>0</v>
      </c>
      <c r="R334">
        <f>IF(Table1[[#This Row],[NEW RATING2]]&gt;0, Table1[[#This Row],[NEW RATING2]],Table1[[#This Row],[Rate]])</f>
        <v>3</v>
      </c>
      <c r="S334">
        <f>IF(Table1[[#This Row],[Rate]] =Table1[[#This Row],[AI RATE]],1, 0)</f>
        <v>1</v>
      </c>
    </row>
    <row r="335" spans="1:20" x14ac:dyDescent="0.35">
      <c r="A335">
        <v>2024</v>
      </c>
      <c r="B335">
        <v>18</v>
      </c>
      <c r="C335">
        <v>18</v>
      </c>
      <c r="D335" t="s">
        <v>65</v>
      </c>
      <c r="F335" t="s">
        <v>547</v>
      </c>
      <c r="G335">
        <v>3</v>
      </c>
      <c r="H335" t="s">
        <v>55</v>
      </c>
      <c r="I335" t="s">
        <v>59</v>
      </c>
      <c r="J335" t="s">
        <v>603</v>
      </c>
      <c r="K335" t="s">
        <v>172</v>
      </c>
      <c r="L335" t="s">
        <v>16</v>
      </c>
      <c r="M335" t="s">
        <v>17</v>
      </c>
      <c r="O335">
        <v>3</v>
      </c>
      <c r="P335" t="s">
        <v>455</v>
      </c>
      <c r="Q335">
        <f>ABS(Table1[[#This Row],[Rate]]-Table1[[#This Row],[AI RATE]])</f>
        <v>0</v>
      </c>
      <c r="R335">
        <f>IF(Table1[[#This Row],[NEW RATING2]]&gt;0, Table1[[#This Row],[NEW RATING2]],Table1[[#This Row],[Rate]])</f>
        <v>3</v>
      </c>
      <c r="S335">
        <f>IF(Table1[[#This Row],[Rate]] =Table1[[#This Row],[AI RATE]],1, 0)</f>
        <v>1</v>
      </c>
    </row>
    <row r="336" spans="1:20" x14ac:dyDescent="0.35">
      <c r="A336">
        <v>2024</v>
      </c>
      <c r="B336">
        <v>19</v>
      </c>
      <c r="C336">
        <v>19</v>
      </c>
      <c r="D336" t="s">
        <v>237</v>
      </c>
      <c r="F336" t="s">
        <v>548</v>
      </c>
      <c r="G336">
        <v>4</v>
      </c>
      <c r="H336" t="s">
        <v>454</v>
      </c>
      <c r="I336" t="s">
        <v>64</v>
      </c>
      <c r="J336" t="s">
        <v>603</v>
      </c>
      <c r="K336" t="s">
        <v>172</v>
      </c>
      <c r="L336" t="s">
        <v>16</v>
      </c>
      <c r="M336" t="s">
        <v>17</v>
      </c>
      <c r="O336">
        <v>3</v>
      </c>
      <c r="P336" t="s">
        <v>455</v>
      </c>
      <c r="Q336">
        <f>ABS(Table1[[#This Row],[Rate]]-Table1[[#This Row],[AI RATE]])</f>
        <v>1</v>
      </c>
      <c r="R336">
        <f>IF(Table1[[#This Row],[NEW RATING2]]&gt;0, Table1[[#This Row],[NEW RATING2]],Table1[[#This Row],[Rate]])</f>
        <v>4</v>
      </c>
      <c r="S336">
        <f>IF(Table1[[#This Row],[Rate]] =Table1[[#This Row],[AI RATE]],1, 0)</f>
        <v>0</v>
      </c>
    </row>
    <row r="337" spans="1:19" x14ac:dyDescent="0.35">
      <c r="A337">
        <v>2024</v>
      </c>
      <c r="B337">
        <v>20</v>
      </c>
      <c r="C337">
        <v>20</v>
      </c>
      <c r="D337" t="s">
        <v>90</v>
      </c>
      <c r="F337" t="s">
        <v>549</v>
      </c>
      <c r="G337">
        <v>3</v>
      </c>
      <c r="H337" t="s">
        <v>55</v>
      </c>
      <c r="I337" t="s">
        <v>143</v>
      </c>
      <c r="J337" t="s">
        <v>603</v>
      </c>
      <c r="K337" t="s">
        <v>172</v>
      </c>
      <c r="L337" t="s">
        <v>16</v>
      </c>
      <c r="M337" t="s">
        <v>17</v>
      </c>
      <c r="O337">
        <v>3</v>
      </c>
      <c r="P337" t="s">
        <v>455</v>
      </c>
      <c r="Q337">
        <f>ABS(Table1[[#This Row],[Rate]]-Table1[[#This Row],[AI RATE]])</f>
        <v>0</v>
      </c>
      <c r="R337">
        <f>IF(Table1[[#This Row],[NEW RATING2]]&gt;0, Table1[[#This Row],[NEW RATING2]],Table1[[#This Row],[Rate]])</f>
        <v>3</v>
      </c>
      <c r="S337">
        <f>IF(Table1[[#This Row],[Rate]] =Table1[[#This Row],[AI RATE]],1, 0)</f>
        <v>1</v>
      </c>
    </row>
    <row r="338" spans="1:19" x14ac:dyDescent="0.35">
      <c r="A338">
        <v>2024</v>
      </c>
      <c r="B338">
        <v>21</v>
      </c>
      <c r="C338">
        <v>21</v>
      </c>
      <c r="D338" t="s">
        <v>19</v>
      </c>
      <c r="F338" t="s">
        <v>550</v>
      </c>
      <c r="G338">
        <v>3</v>
      </c>
      <c r="H338" t="s">
        <v>454</v>
      </c>
      <c r="I338" t="s">
        <v>110</v>
      </c>
      <c r="J338" t="s">
        <v>603</v>
      </c>
      <c r="K338" t="s">
        <v>172</v>
      </c>
      <c r="L338" t="s">
        <v>16</v>
      </c>
      <c r="M338" t="s">
        <v>17</v>
      </c>
      <c r="O338">
        <v>3</v>
      </c>
      <c r="P338" t="s">
        <v>455</v>
      </c>
      <c r="Q338">
        <f>ABS(Table1[[#This Row],[Rate]]-Table1[[#This Row],[AI RATE]])</f>
        <v>0</v>
      </c>
      <c r="R338">
        <f>IF(Table1[[#This Row],[NEW RATING2]]&gt;0, Table1[[#This Row],[NEW RATING2]],Table1[[#This Row],[Rate]])</f>
        <v>3</v>
      </c>
      <c r="S338">
        <f>IF(Table1[[#This Row],[Rate]] =Table1[[#This Row],[AI RATE]],1, 0)</f>
        <v>1</v>
      </c>
    </row>
    <row r="339" spans="1:19" x14ac:dyDescent="0.35">
      <c r="A339">
        <v>2024</v>
      </c>
      <c r="B339">
        <v>22</v>
      </c>
      <c r="C339">
        <v>22</v>
      </c>
      <c r="D339" t="s">
        <v>93</v>
      </c>
      <c r="F339" t="s">
        <v>551</v>
      </c>
      <c r="G339">
        <v>4</v>
      </c>
      <c r="H339" t="s">
        <v>124</v>
      </c>
      <c r="I339" t="s">
        <v>552</v>
      </c>
      <c r="J339" t="s">
        <v>151</v>
      </c>
      <c r="K339" t="s">
        <v>152</v>
      </c>
      <c r="L339" t="s">
        <v>153</v>
      </c>
      <c r="M339" t="s">
        <v>154</v>
      </c>
      <c r="N339" t="s">
        <v>530</v>
      </c>
      <c r="O339">
        <v>3</v>
      </c>
      <c r="P339" t="s">
        <v>455</v>
      </c>
      <c r="Q339">
        <f>ABS(Table1[[#This Row],[Rate]]-Table1[[#This Row],[AI RATE]])</f>
        <v>1</v>
      </c>
      <c r="R339">
        <f>IF(Table1[[#This Row],[NEW RATING2]]&gt;0, Table1[[#This Row],[NEW RATING2]],Table1[[#This Row],[Rate]])</f>
        <v>4</v>
      </c>
      <c r="S339">
        <f>IF(Table1[[#This Row],[Rate]] =Table1[[#This Row],[AI RATE]],1, 0)</f>
        <v>0</v>
      </c>
    </row>
    <row r="340" spans="1:19" x14ac:dyDescent="0.35">
      <c r="A340">
        <v>2024</v>
      </c>
      <c r="B340">
        <v>23</v>
      </c>
      <c r="C340">
        <v>23</v>
      </c>
      <c r="D340" t="s">
        <v>71</v>
      </c>
      <c r="F340" t="s">
        <v>553</v>
      </c>
      <c r="G340">
        <v>4</v>
      </c>
      <c r="H340" t="s">
        <v>25</v>
      </c>
      <c r="I340" t="s">
        <v>70</v>
      </c>
      <c r="J340" t="s">
        <v>151</v>
      </c>
      <c r="K340" t="s">
        <v>152</v>
      </c>
      <c r="L340" t="s">
        <v>153</v>
      </c>
      <c r="M340" t="s">
        <v>154</v>
      </c>
      <c r="N340" t="s">
        <v>530</v>
      </c>
      <c r="O340">
        <v>3</v>
      </c>
      <c r="P340" t="s">
        <v>455</v>
      </c>
      <c r="Q340">
        <f>ABS(Table1[[#This Row],[Rate]]-Table1[[#This Row],[AI RATE]])</f>
        <v>1</v>
      </c>
      <c r="R340">
        <f>IF(Table1[[#This Row],[NEW RATING2]]&gt;0, Table1[[#This Row],[NEW RATING2]],Table1[[#This Row],[Rate]])</f>
        <v>4</v>
      </c>
      <c r="S340">
        <f>IF(Table1[[#This Row],[Rate]] =Table1[[#This Row],[AI RATE]],1, 0)</f>
        <v>0</v>
      </c>
    </row>
    <row r="341" spans="1:19" x14ac:dyDescent="0.35">
      <c r="A341">
        <v>2024</v>
      </c>
      <c r="B341">
        <v>24</v>
      </c>
      <c r="C341">
        <v>24</v>
      </c>
      <c r="D341" t="s">
        <v>42</v>
      </c>
      <c r="F341" t="s">
        <v>554</v>
      </c>
      <c r="G341">
        <v>4</v>
      </c>
      <c r="H341" t="s">
        <v>124</v>
      </c>
      <c r="I341" t="s">
        <v>133</v>
      </c>
      <c r="J341" t="s">
        <v>151</v>
      </c>
      <c r="K341" t="s">
        <v>152</v>
      </c>
      <c r="L341" t="s">
        <v>153</v>
      </c>
      <c r="M341" t="s">
        <v>154</v>
      </c>
      <c r="N341" t="s">
        <v>530</v>
      </c>
      <c r="O341">
        <v>3</v>
      </c>
      <c r="P341" t="s">
        <v>455</v>
      </c>
      <c r="Q341">
        <f>ABS(Table1[[#This Row],[Rate]]-Table1[[#This Row],[AI RATE]])</f>
        <v>1</v>
      </c>
      <c r="R341">
        <f>IF(Table1[[#This Row],[NEW RATING2]]&gt;0, Table1[[#This Row],[NEW RATING2]],Table1[[#This Row],[Rate]])</f>
        <v>4</v>
      </c>
      <c r="S341">
        <f>IF(Table1[[#This Row],[Rate]] =Table1[[#This Row],[AI RATE]],1, 0)</f>
        <v>0</v>
      </c>
    </row>
    <row r="342" spans="1:19" x14ac:dyDescent="0.35">
      <c r="A342">
        <v>2024</v>
      </c>
      <c r="B342">
        <v>25</v>
      </c>
      <c r="C342">
        <v>25</v>
      </c>
      <c r="D342" t="s">
        <v>78</v>
      </c>
      <c r="F342" t="s">
        <v>555</v>
      </c>
      <c r="G342">
        <v>3</v>
      </c>
      <c r="H342" t="s">
        <v>505</v>
      </c>
      <c r="I342" t="s">
        <v>128</v>
      </c>
      <c r="J342" t="s">
        <v>603</v>
      </c>
      <c r="K342" t="s">
        <v>172</v>
      </c>
      <c r="L342" t="s">
        <v>16</v>
      </c>
      <c r="M342" t="s">
        <v>17</v>
      </c>
      <c r="O342">
        <v>3</v>
      </c>
      <c r="P342" t="s">
        <v>455</v>
      </c>
      <c r="Q342">
        <f>ABS(Table1[[#This Row],[Rate]]-Table1[[#This Row],[AI RATE]])</f>
        <v>0</v>
      </c>
      <c r="R342">
        <f>IF(Table1[[#This Row],[NEW RATING2]]&gt;0, Table1[[#This Row],[NEW RATING2]],Table1[[#This Row],[Rate]])</f>
        <v>3</v>
      </c>
      <c r="S342">
        <f>IF(Table1[[#This Row],[Rate]] =Table1[[#This Row],[AI RATE]],1, 0)</f>
        <v>1</v>
      </c>
    </row>
    <row r="343" spans="1:19" x14ac:dyDescent="0.35">
      <c r="A343">
        <v>2024</v>
      </c>
      <c r="B343">
        <v>26</v>
      </c>
      <c r="C343">
        <v>26</v>
      </c>
      <c r="D343" t="s">
        <v>30</v>
      </c>
      <c r="F343" t="s">
        <v>556</v>
      </c>
      <c r="G343">
        <v>4</v>
      </c>
      <c r="H343" t="s">
        <v>505</v>
      </c>
      <c r="I343" t="s">
        <v>231</v>
      </c>
      <c r="J343" t="s">
        <v>603</v>
      </c>
      <c r="K343" t="s">
        <v>172</v>
      </c>
      <c r="L343" t="s">
        <v>16</v>
      </c>
      <c r="M343" t="s">
        <v>17</v>
      </c>
      <c r="O343">
        <v>3</v>
      </c>
      <c r="P343" t="s">
        <v>455</v>
      </c>
      <c r="Q343">
        <f>ABS(Table1[[#This Row],[Rate]]-Table1[[#This Row],[AI RATE]])</f>
        <v>1</v>
      </c>
      <c r="R343">
        <f>IF(Table1[[#This Row],[NEW RATING2]]&gt;0, Table1[[#This Row],[NEW RATING2]],Table1[[#This Row],[Rate]])</f>
        <v>4</v>
      </c>
      <c r="S343">
        <f>IF(Table1[[#This Row],[Rate]] =Table1[[#This Row],[AI RATE]],1, 0)</f>
        <v>0</v>
      </c>
    </row>
    <row r="344" spans="1:19" x14ac:dyDescent="0.35">
      <c r="A344">
        <v>2024</v>
      </c>
      <c r="B344">
        <v>27</v>
      </c>
      <c r="C344">
        <v>27</v>
      </c>
      <c r="D344" t="s">
        <v>38</v>
      </c>
      <c r="F344" t="s">
        <v>557</v>
      </c>
      <c r="G344">
        <v>3</v>
      </c>
      <c r="H344" t="s">
        <v>558</v>
      </c>
      <c r="I344" t="s">
        <v>137</v>
      </c>
      <c r="J344" t="s">
        <v>151</v>
      </c>
      <c r="K344" t="s">
        <v>152</v>
      </c>
      <c r="L344" t="s">
        <v>153</v>
      </c>
      <c r="M344" t="s">
        <v>154</v>
      </c>
      <c r="N344" t="s">
        <v>530</v>
      </c>
      <c r="O344">
        <v>3</v>
      </c>
      <c r="P344" t="s">
        <v>455</v>
      </c>
      <c r="Q344">
        <f>ABS(Table1[[#This Row],[Rate]]-Table1[[#This Row],[AI RATE]])</f>
        <v>0</v>
      </c>
      <c r="R344">
        <f>IF(Table1[[#This Row],[NEW RATING2]]&gt;0, Table1[[#This Row],[NEW RATING2]],Table1[[#This Row],[Rate]])</f>
        <v>3</v>
      </c>
      <c r="S344">
        <f>IF(Table1[[#This Row],[Rate]] =Table1[[#This Row],[AI RATE]],1, 0)</f>
        <v>1</v>
      </c>
    </row>
    <row r="345" spans="1:19" x14ac:dyDescent="0.35">
      <c r="A345">
        <v>2024</v>
      </c>
      <c r="B345">
        <v>28</v>
      </c>
      <c r="C345">
        <v>28</v>
      </c>
      <c r="D345" t="s">
        <v>60</v>
      </c>
      <c r="F345" t="s">
        <v>559</v>
      </c>
      <c r="G345">
        <v>3</v>
      </c>
      <c r="H345" t="s">
        <v>25</v>
      </c>
      <c r="I345" t="s">
        <v>29</v>
      </c>
      <c r="J345" t="s">
        <v>603</v>
      </c>
      <c r="K345" t="s">
        <v>172</v>
      </c>
      <c r="L345" t="s">
        <v>16</v>
      </c>
      <c r="M345" t="s">
        <v>17</v>
      </c>
      <c r="O345">
        <v>3</v>
      </c>
      <c r="P345" t="s">
        <v>455</v>
      </c>
      <c r="Q345">
        <f>ABS(Table1[[#This Row],[Rate]]-Table1[[#This Row],[AI RATE]])</f>
        <v>0</v>
      </c>
      <c r="R345">
        <f>IF(Table1[[#This Row],[NEW RATING2]]&gt;0, Table1[[#This Row],[NEW RATING2]],Table1[[#This Row],[Rate]])</f>
        <v>3</v>
      </c>
      <c r="S345">
        <f>IF(Table1[[#This Row],[Rate]] =Table1[[#This Row],[AI RATE]],1, 0)</f>
        <v>1</v>
      </c>
    </row>
    <row r="346" spans="1:19" x14ac:dyDescent="0.35">
      <c r="A346">
        <v>2024</v>
      </c>
      <c r="B346">
        <v>29</v>
      </c>
      <c r="C346">
        <v>29</v>
      </c>
      <c r="D346" t="s">
        <v>46</v>
      </c>
      <c r="F346" t="s">
        <v>560</v>
      </c>
      <c r="G346">
        <v>3</v>
      </c>
      <c r="H346" t="s">
        <v>55</v>
      </c>
      <c r="I346" t="s">
        <v>56</v>
      </c>
      <c r="J346" t="s">
        <v>603</v>
      </c>
      <c r="K346" t="s">
        <v>172</v>
      </c>
      <c r="L346" t="s">
        <v>16</v>
      </c>
      <c r="M346" t="s">
        <v>17</v>
      </c>
      <c r="O346">
        <v>3</v>
      </c>
      <c r="P346" t="s">
        <v>455</v>
      </c>
      <c r="Q346">
        <f>ABS(Table1[[#This Row],[Rate]]-Table1[[#This Row],[AI RATE]])</f>
        <v>0</v>
      </c>
      <c r="R346">
        <f>IF(Table1[[#This Row],[NEW RATING2]]&gt;0, Table1[[#This Row],[NEW RATING2]],Table1[[#This Row],[Rate]])</f>
        <v>3</v>
      </c>
      <c r="S346">
        <f>IF(Table1[[#This Row],[Rate]] =Table1[[#This Row],[AI RATE]],1, 0)</f>
        <v>1</v>
      </c>
    </row>
    <row r="347" spans="1:19" x14ac:dyDescent="0.35">
      <c r="A347">
        <v>2024</v>
      </c>
      <c r="B347">
        <v>30</v>
      </c>
      <c r="C347">
        <v>30</v>
      </c>
      <c r="D347" t="s">
        <v>74</v>
      </c>
      <c r="F347" t="s">
        <v>561</v>
      </c>
      <c r="G347">
        <v>3</v>
      </c>
      <c r="H347" t="s">
        <v>124</v>
      </c>
      <c r="I347" t="s">
        <v>107</v>
      </c>
      <c r="J347" t="s">
        <v>603</v>
      </c>
      <c r="K347" t="s">
        <v>172</v>
      </c>
      <c r="L347" t="s">
        <v>16</v>
      </c>
      <c r="M347" t="s">
        <v>17</v>
      </c>
      <c r="O347">
        <v>3</v>
      </c>
      <c r="P347" t="s">
        <v>455</v>
      </c>
      <c r="Q347">
        <f>ABS(Table1[[#This Row],[Rate]]-Table1[[#This Row],[AI RATE]])</f>
        <v>0</v>
      </c>
      <c r="R347">
        <f>IF(Table1[[#This Row],[NEW RATING2]]&gt;0, Table1[[#This Row],[NEW RATING2]],Table1[[#This Row],[Rate]])</f>
        <v>3</v>
      </c>
      <c r="S347">
        <f>IF(Table1[[#This Row],[Rate]] =Table1[[#This Row],[AI RATE]],1, 0)</f>
        <v>1</v>
      </c>
    </row>
    <row r="348" spans="1:19" x14ac:dyDescent="0.35">
      <c r="A348">
        <v>2024</v>
      </c>
      <c r="B348">
        <v>31</v>
      </c>
      <c r="C348">
        <v>31</v>
      </c>
      <c r="D348" t="s">
        <v>12</v>
      </c>
      <c r="F348" t="s">
        <v>562</v>
      </c>
      <c r="G348">
        <v>3</v>
      </c>
      <c r="H348" t="s">
        <v>25</v>
      </c>
      <c r="I348" t="s">
        <v>120</v>
      </c>
      <c r="J348" t="s">
        <v>603</v>
      </c>
      <c r="K348" t="s">
        <v>172</v>
      </c>
      <c r="L348" t="s">
        <v>16</v>
      </c>
      <c r="M348" t="s">
        <v>17</v>
      </c>
      <c r="O348">
        <v>3</v>
      </c>
      <c r="P348" t="s">
        <v>455</v>
      </c>
      <c r="Q348">
        <f>ABS(Table1[[#This Row],[Rate]]-Table1[[#This Row],[AI RATE]])</f>
        <v>0</v>
      </c>
      <c r="R348">
        <f>IF(Table1[[#This Row],[NEW RATING2]]&gt;0, Table1[[#This Row],[NEW RATING2]],Table1[[#This Row],[Rate]])</f>
        <v>3</v>
      </c>
      <c r="S348">
        <f>IF(Table1[[#This Row],[Rate]] =Table1[[#This Row],[AI RATE]],1, 0)</f>
        <v>1</v>
      </c>
    </row>
    <row r="349" spans="1:19" x14ac:dyDescent="0.35">
      <c r="A349">
        <v>2024</v>
      </c>
      <c r="B349">
        <v>32</v>
      </c>
      <c r="C349">
        <v>32</v>
      </c>
      <c r="D349" t="s">
        <v>57</v>
      </c>
      <c r="F349" t="s">
        <v>563</v>
      </c>
      <c r="G349">
        <v>2</v>
      </c>
      <c r="H349" t="s">
        <v>25</v>
      </c>
      <c r="I349" t="s">
        <v>37</v>
      </c>
      <c r="J349" t="s">
        <v>603</v>
      </c>
      <c r="K349" t="s">
        <v>172</v>
      </c>
      <c r="L349" t="s">
        <v>16</v>
      </c>
      <c r="M349" t="s">
        <v>17</v>
      </c>
      <c r="O349">
        <v>3</v>
      </c>
      <c r="P349" t="s">
        <v>455</v>
      </c>
      <c r="Q349">
        <f>ABS(Table1[[#This Row],[Rate]]-Table1[[#This Row],[AI RATE]])</f>
        <v>1</v>
      </c>
      <c r="R349">
        <f>IF(Table1[[#This Row],[NEW RATING2]]&gt;0, Table1[[#This Row],[NEW RATING2]],Table1[[#This Row],[Rate]])</f>
        <v>2</v>
      </c>
      <c r="S349">
        <f>IF(Table1[[#This Row],[Rate]] =Table1[[#This Row],[AI RATE]],1, 0)</f>
        <v>0</v>
      </c>
    </row>
    <row r="350" spans="1:19" x14ac:dyDescent="0.35">
      <c r="A350">
        <v>2025</v>
      </c>
      <c r="B350">
        <v>1</v>
      </c>
      <c r="C350">
        <v>1</v>
      </c>
      <c r="D350" t="s">
        <v>32</v>
      </c>
      <c r="F350" t="s">
        <v>564</v>
      </c>
      <c r="G350">
        <v>3</v>
      </c>
      <c r="H350" t="s">
        <v>14</v>
      </c>
      <c r="I350" t="s">
        <v>114</v>
      </c>
      <c r="J350" t="s">
        <v>151</v>
      </c>
      <c r="K350" t="s">
        <v>152</v>
      </c>
      <c r="L350" t="s">
        <v>153</v>
      </c>
      <c r="M350" t="s">
        <v>154</v>
      </c>
      <c r="N350" t="s">
        <v>565</v>
      </c>
      <c r="O350">
        <v>3</v>
      </c>
      <c r="P350" t="s">
        <v>566</v>
      </c>
      <c r="Q350">
        <f>ABS(Table1[[#This Row],[Rate]]-Table1[[#This Row],[AI RATE]])</f>
        <v>0</v>
      </c>
      <c r="R350">
        <f>IF(Table1[[#This Row],[NEW RATING2]]&gt;0, Table1[[#This Row],[NEW RATING2]],Table1[[#This Row],[Rate]])</f>
        <v>3</v>
      </c>
      <c r="S350">
        <f>IF(Table1[[#This Row],[Rate]] =Table1[[#This Row],[AI RATE]],1, 0)</f>
        <v>1</v>
      </c>
    </row>
    <row r="351" spans="1:19" x14ac:dyDescent="0.35">
      <c r="A351">
        <v>2025</v>
      </c>
      <c r="B351">
        <v>2</v>
      </c>
      <c r="C351">
        <v>2</v>
      </c>
      <c r="D351" t="s">
        <v>71</v>
      </c>
      <c r="F351" t="s">
        <v>567</v>
      </c>
      <c r="G351">
        <v>3</v>
      </c>
      <c r="H351" t="s">
        <v>568</v>
      </c>
      <c r="I351" t="s">
        <v>144</v>
      </c>
      <c r="J351" t="s">
        <v>151</v>
      </c>
      <c r="K351" t="s">
        <v>152</v>
      </c>
      <c r="L351" t="s">
        <v>153</v>
      </c>
      <c r="M351" t="s">
        <v>154</v>
      </c>
      <c r="N351" t="s">
        <v>565</v>
      </c>
      <c r="O351">
        <v>3</v>
      </c>
      <c r="P351" t="s">
        <v>566</v>
      </c>
      <c r="Q351">
        <f>ABS(Table1[[#This Row],[Rate]]-Table1[[#This Row],[AI RATE]])</f>
        <v>0</v>
      </c>
      <c r="R351">
        <f>IF(Table1[[#This Row],[NEW RATING2]]&gt;0, Table1[[#This Row],[NEW RATING2]],Table1[[#This Row],[Rate]])</f>
        <v>3</v>
      </c>
      <c r="S351">
        <f>IF(Table1[[#This Row],[Rate]] =Table1[[#This Row],[AI RATE]],1, 0)</f>
        <v>1</v>
      </c>
    </row>
    <row r="352" spans="1:19" x14ac:dyDescent="0.35">
      <c r="A352">
        <v>2025</v>
      </c>
      <c r="B352">
        <v>3</v>
      </c>
      <c r="C352">
        <v>3</v>
      </c>
      <c r="D352" t="s">
        <v>115</v>
      </c>
      <c r="F352" t="s">
        <v>569</v>
      </c>
      <c r="G352">
        <v>4</v>
      </c>
      <c r="H352" t="s">
        <v>454</v>
      </c>
      <c r="I352" t="s">
        <v>110</v>
      </c>
      <c r="J352" t="s">
        <v>151</v>
      </c>
      <c r="K352" t="s">
        <v>152</v>
      </c>
      <c r="L352" t="s">
        <v>153</v>
      </c>
      <c r="M352" t="s">
        <v>154</v>
      </c>
      <c r="N352" t="s">
        <v>565</v>
      </c>
      <c r="O352">
        <v>3</v>
      </c>
      <c r="P352" t="s">
        <v>566</v>
      </c>
      <c r="Q352">
        <f>ABS(Table1[[#This Row],[Rate]]-Table1[[#This Row],[AI RATE]])</f>
        <v>1</v>
      </c>
      <c r="R352">
        <f>IF(Table1[[#This Row],[NEW RATING2]]&gt;0, Table1[[#This Row],[NEW RATING2]],Table1[[#This Row],[Rate]])</f>
        <v>4</v>
      </c>
      <c r="S352">
        <f>IF(Table1[[#This Row],[Rate]] =Table1[[#This Row],[AI RATE]],1, 0)</f>
        <v>0</v>
      </c>
    </row>
    <row r="353" spans="1:19" x14ac:dyDescent="0.35">
      <c r="A353">
        <v>2025</v>
      </c>
      <c r="B353">
        <v>4</v>
      </c>
      <c r="C353">
        <v>4</v>
      </c>
      <c r="D353" t="s">
        <v>95</v>
      </c>
      <c r="F353" t="s">
        <v>570</v>
      </c>
      <c r="G353">
        <v>3</v>
      </c>
      <c r="H353" t="s">
        <v>55</v>
      </c>
      <c r="I353" t="s">
        <v>70</v>
      </c>
      <c r="J353" t="s">
        <v>151</v>
      </c>
      <c r="K353" t="s">
        <v>152</v>
      </c>
      <c r="L353" t="s">
        <v>153</v>
      </c>
      <c r="M353" t="s">
        <v>154</v>
      </c>
      <c r="N353" t="s">
        <v>565</v>
      </c>
      <c r="O353">
        <v>3</v>
      </c>
      <c r="P353" t="s">
        <v>566</v>
      </c>
      <c r="Q353">
        <f>ABS(Table1[[#This Row],[Rate]]-Table1[[#This Row],[AI RATE]])</f>
        <v>0</v>
      </c>
      <c r="R353">
        <f>IF(Table1[[#This Row],[NEW RATING2]]&gt;0, Table1[[#This Row],[NEW RATING2]],Table1[[#This Row],[Rate]])</f>
        <v>3</v>
      </c>
      <c r="S353">
        <f>IF(Table1[[#This Row],[Rate]] =Table1[[#This Row],[AI RATE]],1, 0)</f>
        <v>1</v>
      </c>
    </row>
    <row r="354" spans="1:19" x14ac:dyDescent="0.35">
      <c r="A354">
        <v>2025</v>
      </c>
      <c r="B354">
        <v>5</v>
      </c>
      <c r="C354">
        <v>5</v>
      </c>
      <c r="D354" t="s">
        <v>23</v>
      </c>
      <c r="F354" t="s">
        <v>571</v>
      </c>
      <c r="G354">
        <v>3</v>
      </c>
      <c r="H354" t="s">
        <v>86</v>
      </c>
      <c r="I354" t="s">
        <v>26</v>
      </c>
      <c r="J354" t="s">
        <v>151</v>
      </c>
      <c r="K354" t="s">
        <v>152</v>
      </c>
      <c r="L354" t="s">
        <v>153</v>
      </c>
      <c r="M354" t="s">
        <v>154</v>
      </c>
      <c r="N354" t="s">
        <v>565</v>
      </c>
      <c r="O354">
        <v>3</v>
      </c>
      <c r="P354" t="s">
        <v>566</v>
      </c>
      <c r="Q354">
        <f>ABS(Table1[[#This Row],[Rate]]-Table1[[#This Row],[AI RATE]])</f>
        <v>0</v>
      </c>
      <c r="R354">
        <f>IF(Table1[[#This Row],[NEW RATING2]]&gt;0, Table1[[#This Row],[NEW RATING2]],Table1[[#This Row],[Rate]])</f>
        <v>3</v>
      </c>
      <c r="S354">
        <f>IF(Table1[[#This Row],[Rate]] =Table1[[#This Row],[AI RATE]],1, 0)</f>
        <v>1</v>
      </c>
    </row>
    <row r="355" spans="1:19" x14ac:dyDescent="0.35">
      <c r="A355">
        <v>2025</v>
      </c>
      <c r="B355">
        <v>6</v>
      </c>
      <c r="C355">
        <v>6</v>
      </c>
      <c r="D355" t="s">
        <v>394</v>
      </c>
      <c r="F355" t="s">
        <v>572</v>
      </c>
      <c r="G355">
        <v>4</v>
      </c>
      <c r="H355" t="s">
        <v>21</v>
      </c>
      <c r="I355" t="s">
        <v>125</v>
      </c>
      <c r="J355" t="s">
        <v>151</v>
      </c>
      <c r="K355" t="s">
        <v>152</v>
      </c>
      <c r="L355" t="s">
        <v>153</v>
      </c>
      <c r="M355" t="s">
        <v>154</v>
      </c>
      <c r="N355" t="s">
        <v>565</v>
      </c>
      <c r="O355">
        <v>3</v>
      </c>
      <c r="P355" t="s">
        <v>566</v>
      </c>
      <c r="Q355">
        <f>ABS(Table1[[#This Row],[Rate]]-Table1[[#This Row],[AI RATE]])</f>
        <v>1</v>
      </c>
      <c r="R355">
        <f>IF(Table1[[#This Row],[NEW RATING2]]&gt;0, Table1[[#This Row],[NEW RATING2]],Table1[[#This Row],[Rate]])</f>
        <v>4</v>
      </c>
      <c r="S355">
        <f>IF(Table1[[#This Row],[Rate]] =Table1[[#This Row],[AI RATE]],1, 0)</f>
        <v>0</v>
      </c>
    </row>
    <row r="356" spans="1:19" x14ac:dyDescent="0.35">
      <c r="A356">
        <v>2025</v>
      </c>
      <c r="B356">
        <v>7</v>
      </c>
      <c r="C356">
        <v>7</v>
      </c>
      <c r="D356" t="s">
        <v>99</v>
      </c>
      <c r="F356" t="s">
        <v>573</v>
      </c>
      <c r="G356">
        <v>3</v>
      </c>
      <c r="H356" t="s">
        <v>55</v>
      </c>
      <c r="I356" t="s">
        <v>137</v>
      </c>
      <c r="J356" t="s">
        <v>603</v>
      </c>
      <c r="K356" t="s">
        <v>172</v>
      </c>
      <c r="L356" t="s">
        <v>16</v>
      </c>
      <c r="M356" t="s">
        <v>17</v>
      </c>
      <c r="O356">
        <v>3</v>
      </c>
      <c r="P356" t="s">
        <v>566</v>
      </c>
      <c r="Q356">
        <f>ABS(Table1[[#This Row],[Rate]]-Table1[[#This Row],[AI RATE]])</f>
        <v>0</v>
      </c>
      <c r="R356">
        <f>IF(Table1[[#This Row],[NEW RATING2]]&gt;0, Table1[[#This Row],[NEW RATING2]],Table1[[#This Row],[Rate]])</f>
        <v>3</v>
      </c>
      <c r="S356">
        <f>IF(Table1[[#This Row],[Rate]] =Table1[[#This Row],[AI RATE]],1, 0)</f>
        <v>1</v>
      </c>
    </row>
    <row r="357" spans="1:19" x14ac:dyDescent="0.35">
      <c r="A357">
        <v>2025</v>
      </c>
      <c r="B357">
        <v>8</v>
      </c>
      <c r="C357">
        <v>8</v>
      </c>
      <c r="D357" t="s">
        <v>57</v>
      </c>
      <c r="F357" t="s">
        <v>574</v>
      </c>
      <c r="G357">
        <v>4</v>
      </c>
      <c r="H357" t="s">
        <v>25</v>
      </c>
      <c r="I357" t="s">
        <v>128</v>
      </c>
      <c r="J357" t="s">
        <v>151</v>
      </c>
      <c r="K357" t="s">
        <v>152</v>
      </c>
      <c r="L357" t="s">
        <v>153</v>
      </c>
      <c r="M357" t="s">
        <v>154</v>
      </c>
      <c r="N357" t="s">
        <v>565</v>
      </c>
      <c r="O357">
        <v>3</v>
      </c>
      <c r="P357" t="s">
        <v>566</v>
      </c>
      <c r="Q357">
        <f>ABS(Table1[[#This Row],[Rate]]-Table1[[#This Row],[AI RATE]])</f>
        <v>1</v>
      </c>
      <c r="R357">
        <f>IF(Table1[[#This Row],[NEW RATING2]]&gt;0, Table1[[#This Row],[NEW RATING2]],Table1[[#This Row],[Rate]])</f>
        <v>4</v>
      </c>
      <c r="S357">
        <f>IF(Table1[[#This Row],[Rate]] =Table1[[#This Row],[AI RATE]],1, 0)</f>
        <v>0</v>
      </c>
    </row>
    <row r="358" spans="1:19" x14ac:dyDescent="0.35">
      <c r="A358">
        <v>2025</v>
      </c>
      <c r="B358">
        <v>9</v>
      </c>
      <c r="C358">
        <v>9</v>
      </c>
      <c r="D358" t="s">
        <v>53</v>
      </c>
      <c r="F358" t="s">
        <v>575</v>
      </c>
      <c r="G358">
        <v>4</v>
      </c>
      <c r="H358" t="s">
        <v>55</v>
      </c>
      <c r="I358" t="s">
        <v>29</v>
      </c>
      <c r="J358" t="s">
        <v>603</v>
      </c>
      <c r="K358" t="s">
        <v>172</v>
      </c>
      <c r="L358" t="s">
        <v>16</v>
      </c>
      <c r="M358" t="s">
        <v>17</v>
      </c>
      <c r="O358">
        <v>3</v>
      </c>
      <c r="P358" t="s">
        <v>566</v>
      </c>
      <c r="Q358">
        <f>ABS(Table1[[#This Row],[Rate]]-Table1[[#This Row],[AI RATE]])</f>
        <v>1</v>
      </c>
      <c r="R358">
        <f>IF(Table1[[#This Row],[NEW RATING2]]&gt;0, Table1[[#This Row],[NEW RATING2]],Table1[[#This Row],[Rate]])</f>
        <v>4</v>
      </c>
      <c r="S358">
        <f>IF(Table1[[#This Row],[Rate]] =Table1[[#This Row],[AI RATE]],1, 0)</f>
        <v>0</v>
      </c>
    </row>
    <row r="359" spans="1:19" x14ac:dyDescent="0.35">
      <c r="A359">
        <v>2025</v>
      </c>
      <c r="B359">
        <v>10</v>
      </c>
      <c r="C359">
        <v>10</v>
      </c>
      <c r="D359" t="s">
        <v>27</v>
      </c>
      <c r="F359" t="s">
        <v>576</v>
      </c>
      <c r="G359">
        <v>4</v>
      </c>
      <c r="H359" t="s">
        <v>92</v>
      </c>
      <c r="I359" t="s">
        <v>26</v>
      </c>
      <c r="J359" t="s">
        <v>603</v>
      </c>
      <c r="K359" t="s">
        <v>172</v>
      </c>
      <c r="L359" t="s">
        <v>16</v>
      </c>
      <c r="M359" t="s">
        <v>17</v>
      </c>
      <c r="O359">
        <v>3</v>
      </c>
      <c r="P359" t="s">
        <v>566</v>
      </c>
      <c r="Q359">
        <f>ABS(Table1[[#This Row],[Rate]]-Table1[[#This Row],[AI RATE]])</f>
        <v>1</v>
      </c>
      <c r="R359">
        <f>IF(Table1[[#This Row],[NEW RATING2]]&gt;0, Table1[[#This Row],[NEW RATING2]],Table1[[#This Row],[Rate]])</f>
        <v>4</v>
      </c>
      <c r="S359">
        <f>IF(Table1[[#This Row],[Rate]] =Table1[[#This Row],[AI RATE]],1, 0)</f>
        <v>0</v>
      </c>
    </row>
    <row r="360" spans="1:19" x14ac:dyDescent="0.35">
      <c r="A360">
        <v>2025</v>
      </c>
      <c r="B360">
        <v>11</v>
      </c>
      <c r="C360">
        <v>11</v>
      </c>
      <c r="D360" t="s">
        <v>12</v>
      </c>
      <c r="F360" t="s">
        <v>577</v>
      </c>
      <c r="G360">
        <v>3</v>
      </c>
      <c r="H360" t="s">
        <v>454</v>
      </c>
      <c r="I360" t="s">
        <v>59</v>
      </c>
      <c r="J360" t="s">
        <v>603</v>
      </c>
      <c r="K360" t="s">
        <v>172</v>
      </c>
      <c r="L360" t="s">
        <v>16</v>
      </c>
      <c r="M360" t="s">
        <v>17</v>
      </c>
      <c r="O360">
        <v>3</v>
      </c>
      <c r="P360" t="s">
        <v>566</v>
      </c>
      <c r="Q360">
        <f>ABS(Table1[[#This Row],[Rate]]-Table1[[#This Row],[AI RATE]])</f>
        <v>0</v>
      </c>
      <c r="R360">
        <f>IF(Table1[[#This Row],[NEW RATING2]]&gt;0, Table1[[#This Row],[NEW RATING2]],Table1[[#This Row],[Rate]])</f>
        <v>3</v>
      </c>
      <c r="S360">
        <f>IF(Table1[[#This Row],[Rate]] =Table1[[#This Row],[AI RATE]],1, 0)</f>
        <v>1</v>
      </c>
    </row>
    <row r="361" spans="1:19" x14ac:dyDescent="0.35">
      <c r="A361">
        <v>2025</v>
      </c>
      <c r="B361">
        <v>12</v>
      </c>
      <c r="C361">
        <v>12</v>
      </c>
      <c r="D361" t="s">
        <v>46</v>
      </c>
      <c r="F361" t="s">
        <v>578</v>
      </c>
      <c r="G361">
        <v>3</v>
      </c>
      <c r="H361" t="s">
        <v>97</v>
      </c>
      <c r="I361" t="s">
        <v>133</v>
      </c>
      <c r="J361" t="s">
        <v>151</v>
      </c>
      <c r="K361" t="s">
        <v>152</v>
      </c>
      <c r="L361" t="s">
        <v>153</v>
      </c>
      <c r="M361" t="s">
        <v>154</v>
      </c>
      <c r="N361" t="s">
        <v>565</v>
      </c>
      <c r="O361">
        <v>3</v>
      </c>
      <c r="P361" t="s">
        <v>566</v>
      </c>
      <c r="Q361">
        <f>ABS(Table1[[#This Row],[Rate]]-Table1[[#This Row],[AI RATE]])</f>
        <v>0</v>
      </c>
      <c r="R361">
        <f>IF(Table1[[#This Row],[NEW RATING2]]&gt;0, Table1[[#This Row],[NEW RATING2]],Table1[[#This Row],[Rate]])</f>
        <v>3</v>
      </c>
      <c r="S361">
        <f>IF(Table1[[#This Row],[Rate]] =Table1[[#This Row],[AI RATE]],1, 0)</f>
        <v>1</v>
      </c>
    </row>
    <row r="362" spans="1:19" x14ac:dyDescent="0.35">
      <c r="A362">
        <v>2025</v>
      </c>
      <c r="B362">
        <v>13</v>
      </c>
      <c r="C362">
        <v>13</v>
      </c>
      <c r="D362" t="s">
        <v>19</v>
      </c>
      <c r="F362" t="s">
        <v>579</v>
      </c>
      <c r="G362">
        <v>3</v>
      </c>
      <c r="H362" t="s">
        <v>86</v>
      </c>
      <c r="I362" t="s">
        <v>26</v>
      </c>
      <c r="J362" t="s">
        <v>603</v>
      </c>
      <c r="K362" t="s">
        <v>172</v>
      </c>
      <c r="L362" t="s">
        <v>16</v>
      </c>
      <c r="M362" t="s">
        <v>17</v>
      </c>
      <c r="O362">
        <v>3</v>
      </c>
      <c r="P362" t="s">
        <v>566</v>
      </c>
      <c r="Q362">
        <f>ABS(Table1[[#This Row],[Rate]]-Table1[[#This Row],[AI RATE]])</f>
        <v>0</v>
      </c>
      <c r="R362">
        <f>IF(Table1[[#This Row],[NEW RATING2]]&gt;0, Table1[[#This Row],[NEW RATING2]],Table1[[#This Row],[Rate]])</f>
        <v>3</v>
      </c>
      <c r="S362">
        <f>IF(Table1[[#This Row],[Rate]] =Table1[[#This Row],[AI RATE]],1, 0)</f>
        <v>1</v>
      </c>
    </row>
    <row r="363" spans="1:19" x14ac:dyDescent="0.35">
      <c r="A363">
        <v>2025</v>
      </c>
      <c r="B363">
        <v>14</v>
      </c>
      <c r="C363">
        <v>14</v>
      </c>
      <c r="D363" t="s">
        <v>88</v>
      </c>
      <c r="F363" t="s">
        <v>580</v>
      </c>
      <c r="G363">
        <v>4</v>
      </c>
      <c r="H363" t="s">
        <v>92</v>
      </c>
      <c r="I363" t="s">
        <v>110</v>
      </c>
      <c r="J363" t="s">
        <v>603</v>
      </c>
      <c r="K363" t="s">
        <v>172</v>
      </c>
      <c r="L363" t="s">
        <v>16</v>
      </c>
      <c r="M363" t="s">
        <v>17</v>
      </c>
      <c r="O363">
        <v>3</v>
      </c>
      <c r="P363" t="s">
        <v>566</v>
      </c>
      <c r="Q363">
        <f>ABS(Table1[[#This Row],[Rate]]-Table1[[#This Row],[AI RATE]])</f>
        <v>1</v>
      </c>
      <c r="R363">
        <f>IF(Table1[[#This Row],[NEW RATING2]]&gt;0, Table1[[#This Row],[NEW RATING2]],Table1[[#This Row],[Rate]])</f>
        <v>4</v>
      </c>
      <c r="S363">
        <f>IF(Table1[[#This Row],[Rate]] =Table1[[#This Row],[AI RATE]],1, 0)</f>
        <v>0</v>
      </c>
    </row>
    <row r="364" spans="1:19" x14ac:dyDescent="0.35">
      <c r="A364">
        <v>2025</v>
      </c>
      <c r="B364">
        <v>15</v>
      </c>
      <c r="C364">
        <v>15</v>
      </c>
      <c r="D364" t="s">
        <v>84</v>
      </c>
      <c r="F364" t="s">
        <v>581</v>
      </c>
      <c r="G364">
        <v>3</v>
      </c>
      <c r="H364" t="s">
        <v>496</v>
      </c>
      <c r="I364" t="s">
        <v>59</v>
      </c>
      <c r="J364" t="s">
        <v>603</v>
      </c>
      <c r="K364" t="s">
        <v>172</v>
      </c>
      <c r="L364" t="s">
        <v>16</v>
      </c>
      <c r="M364" t="s">
        <v>17</v>
      </c>
      <c r="O364">
        <v>3</v>
      </c>
      <c r="P364" t="s">
        <v>566</v>
      </c>
      <c r="Q364">
        <f>ABS(Table1[[#This Row],[Rate]]-Table1[[#This Row],[AI RATE]])</f>
        <v>0</v>
      </c>
      <c r="R364">
        <f>IF(Table1[[#This Row],[NEW RATING2]]&gt;0, Table1[[#This Row],[NEW RATING2]],Table1[[#This Row],[Rate]])</f>
        <v>3</v>
      </c>
      <c r="S364">
        <f>IF(Table1[[#This Row],[Rate]] =Table1[[#This Row],[AI RATE]],1, 0)</f>
        <v>1</v>
      </c>
    </row>
    <row r="365" spans="1:19" x14ac:dyDescent="0.35">
      <c r="A365">
        <v>2025</v>
      </c>
      <c r="B365">
        <v>16</v>
      </c>
      <c r="C365">
        <v>16</v>
      </c>
      <c r="D365" t="s">
        <v>38</v>
      </c>
      <c r="F365" t="s">
        <v>582</v>
      </c>
      <c r="G365">
        <v>3</v>
      </c>
      <c r="H365" t="s">
        <v>86</v>
      </c>
      <c r="I365" t="s">
        <v>83</v>
      </c>
      <c r="J365" t="s">
        <v>603</v>
      </c>
      <c r="K365" t="s">
        <v>172</v>
      </c>
      <c r="L365" t="s">
        <v>16</v>
      </c>
      <c r="M365" t="s">
        <v>17</v>
      </c>
      <c r="O365">
        <v>3</v>
      </c>
      <c r="P365" t="s">
        <v>566</v>
      </c>
      <c r="Q365">
        <f>ABS(Table1[[#This Row],[Rate]]-Table1[[#This Row],[AI RATE]])</f>
        <v>0</v>
      </c>
      <c r="R365">
        <f>IF(Table1[[#This Row],[NEW RATING2]]&gt;0, Table1[[#This Row],[NEW RATING2]],Table1[[#This Row],[Rate]])</f>
        <v>3</v>
      </c>
      <c r="S365">
        <f>IF(Table1[[#This Row],[Rate]] =Table1[[#This Row],[AI RATE]],1, 0)</f>
        <v>1</v>
      </c>
    </row>
    <row r="366" spans="1:19" x14ac:dyDescent="0.35">
      <c r="A366">
        <v>2025</v>
      </c>
      <c r="B366">
        <v>17</v>
      </c>
      <c r="C366">
        <v>17</v>
      </c>
      <c r="D366" t="s">
        <v>65</v>
      </c>
      <c r="F366" t="s">
        <v>583</v>
      </c>
      <c r="G366">
        <v>2</v>
      </c>
      <c r="H366" t="s">
        <v>454</v>
      </c>
      <c r="I366" t="s">
        <v>142</v>
      </c>
      <c r="J366" t="s">
        <v>151</v>
      </c>
      <c r="K366" t="s">
        <v>152</v>
      </c>
      <c r="L366" t="s">
        <v>153</v>
      </c>
      <c r="M366" t="s">
        <v>154</v>
      </c>
      <c r="N366" t="s">
        <v>565</v>
      </c>
      <c r="O366">
        <v>3</v>
      </c>
      <c r="P366" t="s">
        <v>566</v>
      </c>
      <c r="Q366">
        <f>ABS(Table1[[#This Row],[Rate]]-Table1[[#This Row],[AI RATE]])</f>
        <v>1</v>
      </c>
      <c r="R366">
        <f>IF(Table1[[#This Row],[NEW RATING2]]&gt;0, Table1[[#This Row],[NEW RATING2]],Table1[[#This Row],[Rate]])</f>
        <v>2</v>
      </c>
      <c r="S366">
        <f>IF(Table1[[#This Row],[Rate]] =Table1[[#This Row],[AI RATE]],1, 0)</f>
        <v>0</v>
      </c>
    </row>
    <row r="367" spans="1:19" x14ac:dyDescent="0.35">
      <c r="A367">
        <v>2025</v>
      </c>
      <c r="B367">
        <v>18</v>
      </c>
      <c r="C367">
        <v>18</v>
      </c>
      <c r="D367" t="s">
        <v>81</v>
      </c>
      <c r="F367" t="s">
        <v>584</v>
      </c>
      <c r="G367">
        <v>4</v>
      </c>
      <c r="H367" t="s">
        <v>97</v>
      </c>
      <c r="I367" t="s">
        <v>242</v>
      </c>
      <c r="J367" t="s">
        <v>603</v>
      </c>
      <c r="K367" t="s">
        <v>172</v>
      </c>
      <c r="L367" t="s">
        <v>16</v>
      </c>
      <c r="M367" t="s">
        <v>17</v>
      </c>
      <c r="O367">
        <v>3</v>
      </c>
      <c r="P367" t="s">
        <v>566</v>
      </c>
      <c r="Q367">
        <f>ABS(Table1[[#This Row],[Rate]]-Table1[[#This Row],[AI RATE]])</f>
        <v>1</v>
      </c>
      <c r="R367">
        <f>IF(Table1[[#This Row],[NEW RATING2]]&gt;0, Table1[[#This Row],[NEW RATING2]],Table1[[#This Row],[Rate]])</f>
        <v>4</v>
      </c>
      <c r="S367">
        <f>IF(Table1[[#This Row],[Rate]] =Table1[[#This Row],[AI RATE]],1, 0)</f>
        <v>0</v>
      </c>
    </row>
    <row r="368" spans="1:19" x14ac:dyDescent="0.35">
      <c r="A368">
        <v>2025</v>
      </c>
      <c r="B368">
        <v>19</v>
      </c>
      <c r="C368">
        <v>19</v>
      </c>
      <c r="D368" t="s">
        <v>30</v>
      </c>
      <c r="F368" t="s">
        <v>585</v>
      </c>
      <c r="G368">
        <v>4</v>
      </c>
      <c r="H368" t="s">
        <v>25</v>
      </c>
      <c r="I368" t="s">
        <v>101</v>
      </c>
      <c r="J368" t="s">
        <v>603</v>
      </c>
      <c r="K368" t="s">
        <v>172</v>
      </c>
      <c r="L368" t="s">
        <v>16</v>
      </c>
      <c r="M368" t="s">
        <v>17</v>
      </c>
      <c r="O368">
        <v>3</v>
      </c>
      <c r="P368" t="s">
        <v>566</v>
      </c>
      <c r="Q368">
        <f>ABS(Table1[[#This Row],[Rate]]-Table1[[#This Row],[AI RATE]])</f>
        <v>1</v>
      </c>
      <c r="R368">
        <f>IF(Table1[[#This Row],[NEW RATING2]]&gt;0, Table1[[#This Row],[NEW RATING2]],Table1[[#This Row],[Rate]])</f>
        <v>4</v>
      </c>
      <c r="S368">
        <f>IF(Table1[[#This Row],[Rate]] =Table1[[#This Row],[AI RATE]],1, 0)</f>
        <v>0</v>
      </c>
    </row>
    <row r="369" spans="1:19" x14ac:dyDescent="0.35">
      <c r="A369">
        <v>2025</v>
      </c>
      <c r="B369">
        <v>20</v>
      </c>
      <c r="C369">
        <v>20</v>
      </c>
      <c r="D369" t="s">
        <v>104</v>
      </c>
      <c r="F369" t="s">
        <v>586</v>
      </c>
      <c r="G369">
        <v>2</v>
      </c>
      <c r="H369" t="s">
        <v>124</v>
      </c>
      <c r="I369" t="s">
        <v>29</v>
      </c>
      <c r="J369" t="s">
        <v>603</v>
      </c>
      <c r="K369" t="s">
        <v>172</v>
      </c>
      <c r="L369" t="s">
        <v>16</v>
      </c>
      <c r="M369" t="s">
        <v>17</v>
      </c>
      <c r="O369">
        <v>3</v>
      </c>
      <c r="P369" t="s">
        <v>566</v>
      </c>
      <c r="Q369">
        <f>ABS(Table1[[#This Row],[Rate]]-Table1[[#This Row],[AI RATE]])</f>
        <v>1</v>
      </c>
      <c r="R369">
        <f>IF(Table1[[#This Row],[NEW RATING2]]&gt;0, Table1[[#This Row],[NEW RATING2]],Table1[[#This Row],[Rate]])</f>
        <v>2</v>
      </c>
      <c r="S369">
        <f>IF(Table1[[#This Row],[Rate]] =Table1[[#This Row],[AI RATE]],1, 0)</f>
        <v>0</v>
      </c>
    </row>
    <row r="370" spans="1:19" x14ac:dyDescent="0.35">
      <c r="A370">
        <v>2025</v>
      </c>
      <c r="B370">
        <v>21</v>
      </c>
      <c r="C370">
        <v>21</v>
      </c>
      <c r="D370" t="s">
        <v>90</v>
      </c>
      <c r="F370" t="s">
        <v>587</v>
      </c>
      <c r="G370">
        <v>3</v>
      </c>
      <c r="H370" t="s">
        <v>86</v>
      </c>
      <c r="I370" t="s">
        <v>106</v>
      </c>
      <c r="J370" t="s">
        <v>603</v>
      </c>
      <c r="K370" t="s">
        <v>172</v>
      </c>
      <c r="L370" t="s">
        <v>16</v>
      </c>
      <c r="M370" t="s">
        <v>17</v>
      </c>
      <c r="O370">
        <v>3</v>
      </c>
      <c r="P370" t="s">
        <v>566</v>
      </c>
      <c r="Q370">
        <f>ABS(Table1[[#This Row],[Rate]]-Table1[[#This Row],[AI RATE]])</f>
        <v>0</v>
      </c>
      <c r="R370">
        <f>IF(Table1[[#This Row],[NEW RATING2]]&gt;0, Table1[[#This Row],[NEW RATING2]],Table1[[#This Row],[Rate]])</f>
        <v>3</v>
      </c>
      <c r="S370">
        <f>IF(Table1[[#This Row],[Rate]] =Table1[[#This Row],[AI RATE]],1, 0)</f>
        <v>1</v>
      </c>
    </row>
    <row r="371" spans="1:19" x14ac:dyDescent="0.35">
      <c r="A371">
        <v>2025</v>
      </c>
      <c r="B371">
        <v>22</v>
      </c>
      <c r="C371">
        <v>22</v>
      </c>
      <c r="D371" t="s">
        <v>283</v>
      </c>
      <c r="F371" t="s">
        <v>588</v>
      </c>
      <c r="G371">
        <v>4</v>
      </c>
      <c r="H371" t="s">
        <v>21</v>
      </c>
      <c r="I371" t="s">
        <v>129</v>
      </c>
      <c r="J371" t="s">
        <v>603</v>
      </c>
      <c r="K371" t="s">
        <v>172</v>
      </c>
      <c r="L371" t="s">
        <v>16</v>
      </c>
      <c r="M371" t="s">
        <v>17</v>
      </c>
      <c r="O371">
        <v>3</v>
      </c>
      <c r="P371" t="s">
        <v>566</v>
      </c>
      <c r="Q371">
        <f>ABS(Table1[[#This Row],[Rate]]-Table1[[#This Row],[AI RATE]])</f>
        <v>1</v>
      </c>
      <c r="R371">
        <f>IF(Table1[[#This Row],[NEW RATING2]]&gt;0, Table1[[#This Row],[NEW RATING2]],Table1[[#This Row],[Rate]])</f>
        <v>4</v>
      </c>
      <c r="S371">
        <f>IF(Table1[[#This Row],[Rate]] =Table1[[#This Row],[AI RATE]],1, 0)</f>
        <v>0</v>
      </c>
    </row>
    <row r="372" spans="1:19" x14ac:dyDescent="0.35">
      <c r="A372">
        <v>2025</v>
      </c>
      <c r="B372">
        <v>23</v>
      </c>
      <c r="C372">
        <v>23</v>
      </c>
      <c r="D372" t="s">
        <v>78</v>
      </c>
      <c r="F372" t="s">
        <v>589</v>
      </c>
      <c r="G372">
        <v>3</v>
      </c>
      <c r="H372" t="s">
        <v>25</v>
      </c>
      <c r="I372" t="s">
        <v>29</v>
      </c>
      <c r="J372" t="s">
        <v>151</v>
      </c>
      <c r="K372" t="s">
        <v>152</v>
      </c>
      <c r="L372" t="s">
        <v>153</v>
      </c>
      <c r="M372" t="s">
        <v>154</v>
      </c>
      <c r="N372" t="s">
        <v>565</v>
      </c>
      <c r="O372">
        <v>3</v>
      </c>
      <c r="P372" t="s">
        <v>566</v>
      </c>
      <c r="Q372">
        <f>ABS(Table1[[#This Row],[Rate]]-Table1[[#This Row],[AI RATE]])</f>
        <v>0</v>
      </c>
      <c r="R372">
        <f>IF(Table1[[#This Row],[NEW RATING2]]&gt;0, Table1[[#This Row],[NEW RATING2]],Table1[[#This Row],[Rate]])</f>
        <v>3</v>
      </c>
      <c r="S372">
        <f>IF(Table1[[#This Row],[Rate]] =Table1[[#This Row],[AI RATE]],1, 0)</f>
        <v>1</v>
      </c>
    </row>
    <row r="373" spans="1:19" x14ac:dyDescent="0.35">
      <c r="A373">
        <v>2025</v>
      </c>
      <c r="B373">
        <v>24</v>
      </c>
      <c r="C373">
        <v>24</v>
      </c>
      <c r="D373" t="s">
        <v>35</v>
      </c>
      <c r="F373" t="s">
        <v>590</v>
      </c>
      <c r="G373">
        <v>3</v>
      </c>
      <c r="H373" t="s">
        <v>97</v>
      </c>
      <c r="I373" t="s">
        <v>101</v>
      </c>
      <c r="J373" t="s">
        <v>603</v>
      </c>
      <c r="K373" t="s">
        <v>172</v>
      </c>
      <c r="L373" t="s">
        <v>16</v>
      </c>
      <c r="M373" t="s">
        <v>17</v>
      </c>
      <c r="O373">
        <v>3</v>
      </c>
      <c r="P373" t="s">
        <v>566</v>
      </c>
      <c r="Q373">
        <f>ABS(Table1[[#This Row],[Rate]]-Table1[[#This Row],[AI RATE]])</f>
        <v>0</v>
      </c>
      <c r="R373">
        <f>IF(Table1[[#This Row],[NEW RATING2]]&gt;0, Table1[[#This Row],[NEW RATING2]],Table1[[#This Row],[Rate]])</f>
        <v>3</v>
      </c>
      <c r="S373">
        <f>IF(Table1[[#This Row],[Rate]] =Table1[[#This Row],[AI RATE]],1, 0)</f>
        <v>1</v>
      </c>
    </row>
    <row r="374" spans="1:19" x14ac:dyDescent="0.35">
      <c r="A374">
        <v>2025</v>
      </c>
      <c r="B374">
        <v>25</v>
      </c>
      <c r="C374">
        <v>25</v>
      </c>
      <c r="D374" t="s">
        <v>115</v>
      </c>
      <c r="F374" t="s">
        <v>591</v>
      </c>
      <c r="G374">
        <v>4</v>
      </c>
      <c r="H374" t="s">
        <v>14</v>
      </c>
      <c r="I374" t="s">
        <v>83</v>
      </c>
      <c r="J374" t="s">
        <v>603</v>
      </c>
      <c r="K374" t="s">
        <v>172</v>
      </c>
      <c r="L374" t="s">
        <v>16</v>
      </c>
      <c r="M374" t="s">
        <v>17</v>
      </c>
      <c r="O374">
        <v>3</v>
      </c>
      <c r="P374" t="s">
        <v>566</v>
      </c>
      <c r="Q374">
        <f>ABS(Table1[[#This Row],[Rate]]-Table1[[#This Row],[AI RATE]])</f>
        <v>1</v>
      </c>
      <c r="R374">
        <f>IF(Table1[[#This Row],[NEW RATING2]]&gt;0, Table1[[#This Row],[NEW RATING2]],Table1[[#This Row],[Rate]])</f>
        <v>4</v>
      </c>
      <c r="S374">
        <f>IF(Table1[[#This Row],[Rate]] =Table1[[#This Row],[AI RATE]],1, 0)</f>
        <v>0</v>
      </c>
    </row>
    <row r="375" spans="1:19" x14ac:dyDescent="0.35">
      <c r="A375">
        <v>2025</v>
      </c>
      <c r="B375">
        <v>26</v>
      </c>
      <c r="C375">
        <v>26</v>
      </c>
      <c r="D375" t="s">
        <v>84</v>
      </c>
      <c r="F375" t="s">
        <v>592</v>
      </c>
      <c r="G375">
        <v>4</v>
      </c>
      <c r="H375" t="s">
        <v>454</v>
      </c>
      <c r="I375" t="s">
        <v>108</v>
      </c>
      <c r="J375" t="s">
        <v>603</v>
      </c>
      <c r="K375" t="s">
        <v>172</v>
      </c>
      <c r="L375" t="s">
        <v>16</v>
      </c>
      <c r="M375" t="s">
        <v>17</v>
      </c>
      <c r="O375">
        <v>3</v>
      </c>
      <c r="P375" t="s">
        <v>566</v>
      </c>
      <c r="Q375">
        <f>ABS(Table1[[#This Row],[Rate]]-Table1[[#This Row],[AI RATE]])</f>
        <v>1</v>
      </c>
      <c r="R375">
        <f>IF(Table1[[#This Row],[NEW RATING2]]&gt;0, Table1[[#This Row],[NEW RATING2]],Table1[[#This Row],[Rate]])</f>
        <v>4</v>
      </c>
      <c r="S375">
        <f>IF(Table1[[#This Row],[Rate]] =Table1[[#This Row],[AI RATE]],1, 0)</f>
        <v>0</v>
      </c>
    </row>
    <row r="376" spans="1:19" x14ac:dyDescent="0.35">
      <c r="A376">
        <v>2025</v>
      </c>
      <c r="B376">
        <v>27</v>
      </c>
      <c r="C376">
        <v>27</v>
      </c>
      <c r="D376" t="s">
        <v>74</v>
      </c>
      <c r="F376" t="s">
        <v>593</v>
      </c>
      <c r="G376">
        <v>3</v>
      </c>
      <c r="H376" t="s">
        <v>130</v>
      </c>
      <c r="I376" t="s">
        <v>59</v>
      </c>
      <c r="J376" t="s">
        <v>151</v>
      </c>
      <c r="K376" t="s">
        <v>152</v>
      </c>
      <c r="L376" t="s">
        <v>153</v>
      </c>
      <c r="M376" t="s">
        <v>154</v>
      </c>
      <c r="N376" t="s">
        <v>565</v>
      </c>
      <c r="O376">
        <v>3</v>
      </c>
      <c r="P376" t="s">
        <v>566</v>
      </c>
      <c r="Q376">
        <f>ABS(Table1[[#This Row],[Rate]]-Table1[[#This Row],[AI RATE]])</f>
        <v>0</v>
      </c>
      <c r="R376">
        <f>IF(Table1[[#This Row],[NEW RATING2]]&gt;0, Table1[[#This Row],[NEW RATING2]],Table1[[#This Row],[Rate]])</f>
        <v>3</v>
      </c>
      <c r="S376">
        <f>IF(Table1[[#This Row],[Rate]] =Table1[[#This Row],[AI RATE]],1, 0)</f>
        <v>1</v>
      </c>
    </row>
    <row r="377" spans="1:19" x14ac:dyDescent="0.35">
      <c r="A377">
        <v>2025</v>
      </c>
      <c r="B377">
        <v>28</v>
      </c>
      <c r="C377">
        <v>28</v>
      </c>
      <c r="D377" t="s">
        <v>42</v>
      </c>
      <c r="F377" t="s">
        <v>594</v>
      </c>
      <c r="G377">
        <v>3</v>
      </c>
      <c r="H377" t="s">
        <v>86</v>
      </c>
      <c r="I377" t="s">
        <v>101</v>
      </c>
      <c r="J377" t="s">
        <v>603</v>
      </c>
      <c r="K377" t="s">
        <v>172</v>
      </c>
      <c r="L377" t="s">
        <v>16</v>
      </c>
      <c r="M377" t="s">
        <v>17</v>
      </c>
      <c r="O377">
        <v>3</v>
      </c>
      <c r="P377" t="s">
        <v>566</v>
      </c>
      <c r="Q377">
        <f>ABS(Table1[[#This Row],[Rate]]-Table1[[#This Row],[AI RATE]])</f>
        <v>0</v>
      </c>
      <c r="R377">
        <f>IF(Table1[[#This Row],[NEW RATING2]]&gt;0, Table1[[#This Row],[NEW RATING2]],Table1[[#This Row],[Rate]])</f>
        <v>3</v>
      </c>
      <c r="S377">
        <f>IF(Table1[[#This Row],[Rate]] =Table1[[#This Row],[AI RATE]],1, 0)</f>
        <v>1</v>
      </c>
    </row>
    <row r="378" spans="1:19" x14ac:dyDescent="0.35">
      <c r="A378">
        <v>2025</v>
      </c>
      <c r="B378">
        <v>29</v>
      </c>
      <c r="C378">
        <v>29</v>
      </c>
      <c r="D378" t="s">
        <v>472</v>
      </c>
      <c r="F378" t="s">
        <v>595</v>
      </c>
      <c r="G378">
        <v>3</v>
      </c>
      <c r="H378" t="s">
        <v>55</v>
      </c>
      <c r="I378" t="s">
        <v>106</v>
      </c>
      <c r="J378" t="s">
        <v>603</v>
      </c>
      <c r="K378" t="s">
        <v>172</v>
      </c>
      <c r="L378" t="s">
        <v>16</v>
      </c>
      <c r="M378" t="s">
        <v>17</v>
      </c>
      <c r="O378">
        <v>3</v>
      </c>
      <c r="P378" t="s">
        <v>566</v>
      </c>
      <c r="Q378">
        <f>ABS(Table1[[#This Row],[Rate]]-Table1[[#This Row],[AI RATE]])</f>
        <v>0</v>
      </c>
      <c r="R378">
        <f>IF(Table1[[#This Row],[NEW RATING2]]&gt;0, Table1[[#This Row],[NEW RATING2]],Table1[[#This Row],[Rate]])</f>
        <v>3</v>
      </c>
      <c r="S378">
        <f>IF(Table1[[#This Row],[Rate]] =Table1[[#This Row],[AI RATE]],1, 0)</f>
        <v>1</v>
      </c>
    </row>
    <row r="379" spans="1:19" x14ac:dyDescent="0.35">
      <c r="A379">
        <v>2025</v>
      </c>
      <c r="B379">
        <v>30</v>
      </c>
      <c r="C379">
        <v>30</v>
      </c>
      <c r="D379" t="s">
        <v>102</v>
      </c>
      <c r="F379" t="s">
        <v>596</v>
      </c>
      <c r="G379">
        <v>3</v>
      </c>
      <c r="H379" t="s">
        <v>124</v>
      </c>
      <c r="I379" t="s">
        <v>224</v>
      </c>
      <c r="J379" t="s">
        <v>151</v>
      </c>
      <c r="K379" t="s">
        <v>152</v>
      </c>
      <c r="L379" t="s">
        <v>153</v>
      </c>
      <c r="M379" t="s">
        <v>154</v>
      </c>
      <c r="N379" t="s">
        <v>565</v>
      </c>
      <c r="O379">
        <v>3</v>
      </c>
      <c r="P379" t="s">
        <v>566</v>
      </c>
      <c r="Q379">
        <f>ABS(Table1[[#This Row],[Rate]]-Table1[[#This Row],[AI RATE]])</f>
        <v>0</v>
      </c>
      <c r="R379">
        <f>IF(Table1[[#This Row],[NEW RATING2]]&gt;0, Table1[[#This Row],[NEW RATING2]],Table1[[#This Row],[Rate]])</f>
        <v>3</v>
      </c>
      <c r="S379">
        <f>IF(Table1[[#This Row],[Rate]] =Table1[[#This Row],[AI RATE]],1, 0)</f>
        <v>1</v>
      </c>
    </row>
    <row r="380" spans="1:19" x14ac:dyDescent="0.35">
      <c r="A380">
        <v>2025</v>
      </c>
      <c r="B380">
        <v>31</v>
      </c>
      <c r="C380">
        <v>31</v>
      </c>
      <c r="D380" t="s">
        <v>93</v>
      </c>
      <c r="F380" t="s">
        <v>597</v>
      </c>
      <c r="G380">
        <v>3</v>
      </c>
      <c r="H380" t="s">
        <v>51</v>
      </c>
      <c r="I380" t="s">
        <v>133</v>
      </c>
      <c r="J380" t="s">
        <v>151</v>
      </c>
      <c r="K380" t="s">
        <v>152</v>
      </c>
      <c r="L380" t="s">
        <v>153</v>
      </c>
      <c r="M380" t="s">
        <v>154</v>
      </c>
      <c r="N380" t="s">
        <v>565</v>
      </c>
      <c r="O380">
        <v>3</v>
      </c>
      <c r="P380" t="s">
        <v>566</v>
      </c>
      <c r="Q380">
        <f>ABS(Table1[[#This Row],[Rate]]-Table1[[#This Row],[AI RATE]])</f>
        <v>0</v>
      </c>
      <c r="R380">
        <f>IF(Table1[[#This Row],[NEW RATING2]]&gt;0, Table1[[#This Row],[NEW RATING2]],Table1[[#This Row],[Rate]])</f>
        <v>3</v>
      </c>
      <c r="S380">
        <f>IF(Table1[[#This Row],[Rate]] =Table1[[#This Row],[AI RATE]],1, 0)</f>
        <v>1</v>
      </c>
    </row>
    <row r="381" spans="1:19" x14ac:dyDescent="0.35">
      <c r="A381">
        <v>2025</v>
      </c>
      <c r="B381">
        <v>32</v>
      </c>
      <c r="C381">
        <v>32</v>
      </c>
      <c r="D381" t="s">
        <v>60</v>
      </c>
      <c r="F381" t="s">
        <v>598</v>
      </c>
      <c r="G381">
        <v>4</v>
      </c>
      <c r="H381" t="s">
        <v>55</v>
      </c>
      <c r="I381" t="s">
        <v>101</v>
      </c>
      <c r="J381" t="s">
        <v>603</v>
      </c>
      <c r="K381" t="s">
        <v>172</v>
      </c>
      <c r="L381" t="s">
        <v>16</v>
      </c>
      <c r="M381" t="s">
        <v>17</v>
      </c>
      <c r="O381">
        <v>3</v>
      </c>
      <c r="P381" t="s">
        <v>566</v>
      </c>
      <c r="Q381">
        <f>ABS(Table1[[#This Row],[Rate]]-Table1[[#This Row],[AI RATE]])</f>
        <v>1</v>
      </c>
      <c r="R381">
        <f>IF(Table1[[#This Row],[NEW RATING2]]&gt;0, Table1[[#This Row],[NEW RATING2]],Table1[[#This Row],[Rate]])</f>
        <v>4</v>
      </c>
      <c r="S381">
        <f>IF(Table1[[#This Row],[Rate]] =Table1[[#This Row],[AI RATE]],1, 0)</f>
        <v>0</v>
      </c>
    </row>
    <row r="382" spans="1:19" ht="15" thickBot="1" x14ac:dyDescent="0.4"/>
    <row r="383" spans="1:19" ht="19.5" x14ac:dyDescent="0.45">
      <c r="E383" s="3"/>
    </row>
    <row r="384" spans="1:19" ht="17" x14ac:dyDescent="0.4">
      <c r="E384" s="5" t="e">
        <f>AVERAGEIFS(Table1[NEW RATING2], Table1[Team], "&lt;11", Table1[Evidence_Tier], "HOME")</f>
        <v>#DIV/0!</v>
      </c>
    </row>
    <row r="385" spans="1:6" ht="17" x14ac:dyDescent="0.4">
      <c r="E385" s="5"/>
    </row>
    <row r="386" spans="1:6" ht="17" x14ac:dyDescent="0.4">
      <c r="E386" s="5"/>
      <c r="F386" s="2"/>
    </row>
    <row r="387" spans="1:6" ht="17" x14ac:dyDescent="0.4">
      <c r="A387" s="2"/>
      <c r="E387" s="5"/>
    </row>
    <row r="388" spans="1:6" ht="17" x14ac:dyDescent="0.4">
      <c r="E388" s="5"/>
      <c r="F388" s="2"/>
    </row>
    <row r="389" spans="1:6" ht="17" x14ac:dyDescent="0.4">
      <c r="E389" s="5"/>
    </row>
    <row r="390" spans="1:6" ht="17" x14ac:dyDescent="0.4">
      <c r="E390" s="5"/>
    </row>
    <row r="391" spans="1:6" ht="17.5" thickBot="1" x14ac:dyDescent="0.45">
      <c r="E391" s="6"/>
    </row>
  </sheetData>
  <phoneticPr fontId="18" type="noConversion"/>
  <conditionalFormatting sqref="S1:S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" priority="9" operator="equal">
      <formula>"""False"""</formula>
    </cfRule>
  </conditionalFormatting>
  <conditionalFormatting sqref="E384 W3:X3 E389 W8:X8">
    <cfRule type="cellIs" dxfId="4" priority="6" operator="greaterThan">
      <formula>3.66</formula>
    </cfRule>
  </conditionalFormatting>
  <conditionalFormatting sqref="E385 W4:X4">
    <cfRule type="cellIs" dxfId="3" priority="5" operator="greaterThan">
      <formula>3.48</formula>
    </cfRule>
  </conditionalFormatting>
  <conditionalFormatting sqref="E386 W5:X5">
    <cfRule type="cellIs" dxfId="2" priority="4" operator="greaterThan">
      <formula>3.23</formula>
    </cfRule>
  </conditionalFormatting>
  <conditionalFormatting sqref="E390 W9:X9">
    <cfRule type="cellIs" dxfId="1" priority="2" operator="greaterThan">
      <formula>3.36</formula>
    </cfRule>
  </conditionalFormatting>
  <conditionalFormatting sqref="E391 W10:X10">
    <cfRule type="cellIs" dxfId="0" priority="1" operator="greaterThan">
      <formula>2.83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Draft__AttendedOrNot_2014_2025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Flora</dc:creator>
  <cp:lastModifiedBy>Ethan Flora</cp:lastModifiedBy>
  <dcterms:created xsi:type="dcterms:W3CDTF">2026-04-24T02:44:13Z</dcterms:created>
  <dcterms:modified xsi:type="dcterms:W3CDTF">2026-04-24T02:44:47Z</dcterms:modified>
</cp:coreProperties>
</file>