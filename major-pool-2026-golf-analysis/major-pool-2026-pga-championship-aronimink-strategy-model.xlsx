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og1\Downloads\"/>
    </mc:Choice>
  </mc:AlternateContent>
  <xr:revisionPtr revIDLastSave="0" documentId="13_ncr:1_{49625F2E-4E0E-4F3D-AD4C-16BD40CC52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GA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2" i="1"/>
  <c r="B39" i="1"/>
  <c r="B40" i="1"/>
  <c r="B41" i="1"/>
  <c r="R35" i="1" a="1"/>
  <c r="R35" i="1" s="1"/>
  <c r="R34" i="1" a="1"/>
  <c r="R34" i="1" s="1"/>
  <c r="R33" i="1" a="1"/>
  <c r="R33" i="1" s="1"/>
  <c r="R32" i="1" a="1"/>
  <c r="R32" i="1" s="1"/>
  <c r="R31" i="1" a="1"/>
  <c r="R31" i="1" s="1"/>
  <c r="R30" i="1" a="1"/>
  <c r="R30" i="1" s="1"/>
  <c r="R29" i="1" a="1"/>
  <c r="R29" i="1" s="1"/>
  <c r="R28" i="1" a="1"/>
  <c r="R28" i="1" s="1"/>
  <c r="R27" i="1" a="1"/>
  <c r="R27" i="1"/>
  <c r="R26" i="1" a="1"/>
  <c r="R26" i="1" s="1"/>
  <c r="R25" i="1" a="1"/>
  <c r="R25" i="1" s="1"/>
  <c r="R24" i="1" a="1"/>
  <c r="R24" i="1"/>
  <c r="R23" i="1" a="1"/>
  <c r="R23" i="1"/>
  <c r="R22" i="1" a="1"/>
  <c r="R22" i="1" s="1"/>
  <c r="AA15" i="1" s="1"/>
  <c r="R21" i="1" a="1"/>
  <c r="R21" i="1" s="1"/>
  <c r="AA14" i="1" s="1"/>
  <c r="R20" i="1" a="1"/>
  <c r="R20" i="1" s="1"/>
  <c r="AA13" i="1" s="1"/>
  <c r="R19" i="1" a="1"/>
  <c r="R19" i="1" s="1"/>
  <c r="AA12" i="1" s="1"/>
  <c r="R18" i="1" a="1"/>
  <c r="R18" i="1" s="1"/>
  <c r="AA11" i="1" s="1"/>
  <c r="R17" i="1" a="1"/>
  <c r="R17" i="1" s="1"/>
  <c r="AA10" i="1" s="1"/>
  <c r="R16" i="1" a="1"/>
  <c r="R16" i="1" s="1"/>
  <c r="AA9" i="1" s="1"/>
  <c r="R15" i="1" a="1"/>
  <c r="R15" i="1" s="1"/>
  <c r="AA8" i="1" s="1"/>
  <c r="R14" i="1" a="1"/>
  <c r="R14" i="1" s="1"/>
  <c r="AA7" i="1" s="1"/>
  <c r="R13" i="1" a="1"/>
  <c r="R13" i="1" s="1"/>
  <c r="Q35" i="1"/>
  <c r="Q34" i="1"/>
  <c r="Q33" i="1"/>
  <c r="Q32" i="1"/>
  <c r="Q31" i="1"/>
  <c r="Q30" i="1"/>
  <c r="Q29" i="1"/>
  <c r="Q28" i="1"/>
  <c r="Q27" i="1"/>
  <c r="Q26" i="1"/>
  <c r="Q25" i="1"/>
  <c r="AA17" i="1"/>
  <c r="Q24" i="1"/>
  <c r="Z17" i="1" s="1"/>
  <c r="AA16" i="1"/>
  <c r="Q23" i="1"/>
  <c r="Q22" i="1"/>
  <c r="Q21" i="1"/>
  <c r="Z14" i="1" s="1"/>
  <c r="Q20" i="1"/>
  <c r="Z13" i="1" s="1"/>
  <c r="Q19" i="1"/>
  <c r="Q18" i="1"/>
  <c r="Z11" i="1" s="1"/>
  <c r="Y17" i="1"/>
  <c r="Q17" i="1"/>
  <c r="Z10" i="1" s="1"/>
  <c r="Z16" i="1"/>
  <c r="Y16" i="1"/>
  <c r="Q16" i="1"/>
  <c r="Z9" i="1" s="1"/>
  <c r="Z15" i="1"/>
  <c r="Y15" i="1"/>
  <c r="Q15" i="1"/>
  <c r="Y14" i="1"/>
  <c r="Q14" i="1"/>
  <c r="Y13" i="1"/>
  <c r="Q13" i="1"/>
  <c r="Z12" i="1"/>
  <c r="Y12" i="1"/>
  <c r="Y11" i="1"/>
  <c r="Y10" i="1"/>
  <c r="Y9" i="1"/>
  <c r="Z8" i="1"/>
  <c r="Y8" i="1"/>
  <c r="Z7" i="1"/>
  <c r="Y7" i="1"/>
  <c r="Y6" i="1"/>
  <c r="AA6" i="1" l="1"/>
  <c r="Z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<sst xmlns="http://schemas.openxmlformats.org/spreadsheetml/2006/main" count="307" uniqueCount="199">
  <si>
    <t>2026 PGA Championship Pool Analysis | Ethan Flora</t>
  </si>
  <si>
    <t>Separate tournament sheet focused on your PGA pool strategy, Aronimink course fit, leverage, and post-tournament lessons.</t>
  </si>
  <si>
    <t>Tournament + Course Context</t>
  </si>
  <si>
    <t>PGA_2026: Model vs Outcome Ratings</t>
  </si>
  <si>
    <t>Category</t>
  </si>
  <si>
    <t>Details</t>
  </si>
  <si>
    <t>Why it mattered for the pool</t>
  </si>
  <si>
    <t>Pool Result</t>
  </si>
  <si>
    <t>Winner</t>
  </si>
  <si>
    <t>Course Fit Theme</t>
  </si>
  <si>
    <t>Best Lesson</t>
  </si>
  <si>
    <t>Player</t>
  </si>
  <si>
    <t>Model Rating</t>
  </si>
  <si>
    <t>Outcome Rating</t>
  </si>
  <si>
    <t>Venue</t>
  </si>
  <si>
    <t>Aronimink Golf Club, Newtown Square, Pennsylvania</t>
  </si>
  <si>
    <t>A difficult PGA setup with bunkers, sloped greens, and demanding approach shots. Accuracy and patience mattered.</t>
  </si>
  <si>
    <t>2nd Place</t>
  </si>
  <si>
    <t>Aaron Rai</t>
  </si>
  <si>
    <t>Accuracy + patience + low-owned leverage</t>
  </si>
  <si>
    <t>Rai hit; Sungjae MC was the killer</t>
  </si>
  <si>
    <t>Winner Context</t>
  </si>
  <si>
    <t>Aaron Rai won at -9, three shots over Jon Rahm and Alex Smalley</t>
  </si>
  <si>
    <t>This was a perfect example of a low-owned course-fit sleeper beating the obvious names.</t>
  </si>
  <si>
    <t>Your Pool Result</t>
  </si>
  <si>
    <t>Finished 2nd again in the PGA pool</t>
  </si>
  <si>
    <t>Rai and Justin Thomas were excellent, but Sungjae missing the cut hurt the card.</t>
  </si>
  <si>
    <t>Main Lesson</t>
  </si>
  <si>
    <t>Venue difficulty changes player value</t>
  </si>
  <si>
    <t>At Aronimink, course fit and cut safety mattered, but pure leverage became the winning edge when Rai broke through.</t>
  </si>
  <si>
    <t>Player Ratings + Pool Outcome Tracker</t>
  </si>
  <si>
    <t>My Status</t>
  </si>
  <si>
    <t>Tier</t>
  </si>
  <si>
    <t>Pre-Tournament Role</t>
  </si>
  <si>
    <t>Final Finish</t>
  </si>
  <si>
    <t>Final Score</t>
  </si>
  <si>
    <t>Course Fit</t>
  </si>
  <si>
    <t>Recent Form</t>
  </si>
  <si>
    <t>Major Pedigree</t>
  </si>
  <si>
    <t>Cut Safety</t>
  </si>
  <si>
    <t>Leverage</t>
  </si>
  <si>
    <t>Risk</t>
  </si>
  <si>
    <t>Pool Grade</t>
  </si>
  <si>
    <t>Primary Strength</t>
  </si>
  <si>
    <t>Main Weakness / Risk</t>
  </si>
  <si>
    <t>What Happened / Pool Lesson</t>
  </si>
  <si>
    <t>Source URL</t>
  </si>
  <si>
    <t>Picked</t>
  </si>
  <si>
    <t>Tier 1</t>
  </si>
  <si>
    <t>Scottie Scheffler</t>
  </si>
  <si>
    <t>Anchor</t>
  </si>
  <si>
    <t>T14</t>
  </si>
  <si>
    <t>B-</t>
  </si>
  <si>
    <t>Elite floor, defending PGA champ</t>
  </si>
  <si>
    <t>Too much ownership for only T14</t>
  </si>
  <si>
    <t>Safe pick survived but did not separate. Great golfer, mediocre pool leverage this week.</t>
  </si>
  <si>
    <t>https://www.golfchannel.com/pga-of-america/news/pga-championship-2026-leaderboard-final-results-scores-from-aronimink</t>
  </si>
  <si>
    <t>Tier 2</t>
  </si>
  <si>
    <t>Justin Thomas</t>
  </si>
  <si>
    <t>Value</t>
  </si>
  <si>
    <t>T4</t>
  </si>
  <si>
    <t>A</t>
  </si>
  <si>
    <t>PGA pedigree and final-round scoring</t>
  </si>
  <si>
    <t>Entered with form questions after surgery</t>
  </si>
  <si>
    <t>Excellent pool pick. Final-round 65 turned him into a major reason you finished 2nd.</t>
  </si>
  <si>
    <t>https://talksport.com/golf/4265280/justin-thomas-pga-championship-aronimink-leaderboard-aaron-rai/</t>
  </si>
  <si>
    <t>Tier 3</t>
  </si>
  <si>
    <t>Joaquin Niemann</t>
  </si>
  <si>
    <t>T18</t>
  </si>
  <si>
    <t>Scoring pop and nontraditional leverage</t>
  </si>
  <si>
    <t>Major record still thin</t>
  </si>
  <si>
    <t>Not bad, but he did not create top-10 separation. Better as a leverage candidate than anchor.</t>
  </si>
  <si>
    <t>Tier 4</t>
  </si>
  <si>
    <t>Corey Conners</t>
  </si>
  <si>
    <t>55</t>
  </si>
  <si>
    <t>C</t>
  </si>
  <si>
    <t>Fairways/greens profile should fit tough PGA setups</t>
  </si>
  <si>
    <t>Limited win ceiling</t>
  </si>
  <si>
    <t>The idea made sense for a difficult venue, but the finish was a pool miss relative to the Rai/JT hits.</t>
  </si>
  <si>
    <t>https://www.cbssports.com/golf/players/2073578/corey-conners/tournament-results/</t>
  </si>
  <si>
    <t>Tier 5</t>
  </si>
  <si>
    <t>Sungjae Im</t>
  </si>
  <si>
    <t>Cut Safety Miss</t>
  </si>
  <si>
    <t>CUT</t>
  </si>
  <si>
    <t>F</t>
  </si>
  <si>
    <t>Usually reliable profile</t>
  </si>
  <si>
    <t>Missed cut, directly hurt the roster</t>
  </si>
  <si>
    <t>This was the pick that let the card down. In a six-man pool, one MC can erase several good calls.</t>
  </si>
  <si>
    <t>User pool note: Sungjae missed the cut</t>
  </si>
  <si>
    <t>Tier 6</t>
  </si>
  <si>
    <t>Sleeper</t>
  </si>
  <si>
    <t>Win</t>
  </si>
  <si>
    <t>A+</t>
  </si>
  <si>
    <t>Accuracy, discipline, low ownership, course management</t>
  </si>
  <si>
    <t>Had limited major-winning history</t>
  </si>
  <si>
    <t>The dream pool pick. Low-owned winner at Aronimink is exactly the edge that wins contests.</t>
  </si>
  <si>
    <t>https://www.pgachampionship.com/news-media/articles/aaron-rai-wins-the-2026-pga-championship-at-aronimink</t>
  </si>
  <si>
    <t>Missed Opportunity</t>
  </si>
  <si>
    <t>Jon Rahm</t>
  </si>
  <si>
    <t>Contender</t>
  </si>
  <si>
    <t>T2</t>
  </si>
  <si>
    <t>Major-winning ceiling and pressure comfort</t>
  </si>
  <si>
    <t>Ownership and late mistakes</t>
  </si>
  <si>
    <t>Runner-up. Strong fit for a difficult setup and nearly enough to win.</t>
  </si>
  <si>
    <t>Candidate</t>
  </si>
  <si>
    <t>Value Tier</t>
  </si>
  <si>
    <t>Alex Smalley</t>
  </si>
  <si>
    <t>Ball-striking pop and low ownership</t>
  </si>
  <si>
    <t>Closing experience</t>
  </si>
  <si>
    <t>Huge sleeper result. Led after 54 holes and finished runner-up.</t>
  </si>
  <si>
    <t>Rory McIlroy</t>
  </si>
  <si>
    <t>Chalk</t>
  </si>
  <si>
    <t>T7</t>
  </si>
  <si>
    <t>B+</t>
  </si>
  <si>
    <t>Fresh Masters winner, major confidence</t>
  </si>
  <si>
    <t>Heavy ownership and emotional fatigue</t>
  </si>
  <si>
    <t>Top-10 was good but not enough if everyone owned him.</t>
  </si>
  <si>
    <t>Xander Schauffele</t>
  </si>
  <si>
    <t>Major consistency and complete game</t>
  </si>
  <si>
    <t>Not much leverage</t>
  </si>
  <si>
    <t>Good finish, but Rai/JT generated more pool juice.</t>
  </si>
  <si>
    <t>Fade</t>
  </si>
  <si>
    <t>Cameron Smith</t>
  </si>
  <si>
    <t>Risk Play</t>
  </si>
  <si>
    <t>Short game and major toughness</t>
  </si>
  <si>
    <t>Can be less reliable tee-to-green</t>
  </si>
  <si>
    <t>A fade did not crush you, but he was a solid top-10 option.</t>
  </si>
  <si>
    <t>Kurt Kitayama</t>
  </si>
  <si>
    <t>T10</t>
  </si>
  <si>
    <t>A-</t>
  </si>
  <si>
    <t>Final-round explosion</t>
  </si>
  <si>
    <t>Volatility</t>
  </si>
  <si>
    <t>Sunday 63 was a massive late-pool boost for anyone who had him.</t>
  </si>
  <si>
    <t>Chris Gotterup</t>
  </si>
  <si>
    <t>Power and scoring upside</t>
  </si>
  <si>
    <t>Major consistency unknown</t>
  </si>
  <si>
    <t>Strong sleeper profile. Good example of using upside in lower tiers.</t>
  </si>
  <si>
    <t>Justin Rose</t>
  </si>
  <si>
    <t>Course Horse</t>
  </si>
  <si>
    <t>Veteran major IQ and tough-course patience</t>
  </si>
  <si>
    <t>Age and week-to-week volatility</t>
  </si>
  <si>
    <t>Another strong veteran result. Useful reminder that major setups reward experience.</t>
  </si>
  <si>
    <t>Patrick Reed</t>
  </si>
  <si>
    <t>Short game, grit, major comfort</t>
  </si>
  <si>
    <t>Polarizing ownership/fit</t>
  </si>
  <si>
    <t>Good tough-course play. Top-10 made him a viable pool piece.</t>
  </si>
  <si>
    <t>Matthew Fitzpatrick</t>
  </si>
  <si>
    <t>Accuracy and final-round 65</t>
  </si>
  <si>
    <t>Can lack overpowering ceiling</t>
  </si>
  <si>
    <t>Good fit for Aronimink. Not a winner, but useful as steady value.</t>
  </si>
  <si>
    <t>Ben Griffin</t>
  </si>
  <si>
    <t>B</t>
  </si>
  <si>
    <t>Good form and approach upside</t>
  </si>
  <si>
    <t>Limited major history</t>
  </si>
  <si>
    <t>Held up well for T14. More of a depth value than a must-pick.</t>
  </si>
  <si>
    <t>Max Greyserman</t>
  </si>
  <si>
    <t>Low ownership and steady scoring</t>
  </si>
  <si>
    <t>Major closing unknown</t>
  </si>
  <si>
    <t>Nice sleeper profile. Made the weekend count without a big Sunday fade.</t>
  </si>
  <si>
    <t>David Puig</t>
  </si>
  <si>
    <t>Young upside and international leverage</t>
  </si>
  <si>
    <t>Major experience</t>
  </si>
  <si>
    <t>A fine leverage idea but not high enough finish to swing the pool.</t>
  </si>
  <si>
    <t>Jordan Spieth</t>
  </si>
  <si>
    <t>Short game and major creativity</t>
  </si>
  <si>
    <t>Ball-striking volatility</t>
  </si>
  <si>
    <t>Made sense for chaos, but T18 was not enough.</t>
  </si>
  <si>
    <t>Min Woo Lee</t>
  </si>
  <si>
    <t>Athletic scoring upside</t>
  </si>
  <si>
    <t>Major consistency</t>
  </si>
  <si>
    <t>Early promise, average finish. Still a watchlist player.</t>
  </si>
  <si>
    <t>Sam Burns</t>
  </si>
  <si>
    <t>T26</t>
  </si>
  <si>
    <t>E</t>
  </si>
  <si>
    <t>C+</t>
  </si>
  <si>
    <t>Birdie runs and recent major improvement</t>
  </si>
  <si>
    <t>Tough course may expose misses</t>
  </si>
  <si>
    <t>Did not repeat his Masters top-10 value.</t>
  </si>
  <si>
    <t>Hideki Matsuyama</t>
  </si>
  <si>
    <t>Iron play and major experience</t>
  </si>
  <si>
    <t>Health and putting</t>
  </si>
  <si>
    <t>Good profile but ordinary outcome.</t>
  </si>
  <si>
    <t>Quick Read</t>
  </si>
  <si>
    <t>Formula</t>
  </si>
  <si>
    <t>Editable Fields</t>
  </si>
  <si>
    <t>Dropdown Options</t>
  </si>
  <si>
    <t>Picked Count</t>
  </si>
  <si>
    <t>Picked, Candidate, Fade, Missed Opportunity, Watchlist</t>
  </si>
  <si>
    <t>Picked Avg Model Rating</t>
  </si>
  <si>
    <t>Tier 1 through Tier 6 plus Value/Sleeper</t>
  </si>
  <si>
    <t>Picked Avg Outcome Rating</t>
  </si>
  <si>
    <t>Anchor, Chalk, Value, Sleeper, Leverage, Course Horse, Fade, Risk Play</t>
  </si>
  <si>
    <t>A Grade Picks</t>
  </si>
  <si>
    <t>A+ to F</t>
  </si>
  <si>
    <t>Cut Misses in Picked Card</t>
  </si>
  <si>
    <t>Round 1</t>
  </si>
  <si>
    <t>Round 2</t>
  </si>
  <si>
    <t>Round 3</t>
  </si>
  <si>
    <t>Round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</si>
</sst>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3"/>
      <color rgb="FFFFFFFF"/>
      <name val="Carlito"/>
    </font>
    <font>
      <b/>
      <sz val="10"/>
      <color rgb="FFFFFFFF"/>
      <name val="Carlito"/>
    </font>
    <font>
      <b/>
      <sz val="12"/>
      <color rgb="FFFFFFFF"/>
      <name val="Carlito"/>
    </font>
    <font>
      <sz val="12"/>
      <name val="Carlito"/>
    </font>
    <font>
      <i/>
      <sz val="12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0F172A"/>
      </patternFill>
    </fill>
    <fill>
      <patternFill patternType="solid">
        <fgColor rgb="FF1F2937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6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/>
    </xf>
    <xf numFmtId="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quotePrefix="1" applyNumberFormat="1" applyAlignment="1">
      <alignment horizontal="right" wrapText="1"/>
    </xf>
    <xf numFmtId="2" fontId="0" fillId="0" borderId="0" xfId="0" applyNumberFormat="1" applyAlignment="1">
      <alignment horizontal="right" wrapText="1"/>
    </xf>
  </cellXfs>
  <cellStyles count="1">
    <cellStyle name="Normal" xfId="0" builtinId="0"/>
  </cellStyles>
  <dxfs count="5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ill>
        <patternFill patternType="solid">
          <bgColor rgb="FFDBEAFE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PGA_2026: Model vs Outcome Ratings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Model Rating</c:v>
          </c:tx>
          <c:invertIfNegative val="1"/>
          <c:cat>
            <c:strRef>
              <c:f>PGA_2026!$Y$6:$Y$17</c:f>
              <c:strCache>
                <c:ptCount val="12"/>
                <c:pt idx="0">
                  <c:v>Scottie Scheffler</c:v>
                </c:pt>
                <c:pt idx="1">
                  <c:v>Justin Thomas</c:v>
                </c:pt>
                <c:pt idx="2">
                  <c:v>Joaquin Niemann</c:v>
                </c:pt>
                <c:pt idx="3">
                  <c:v>Corey Conners</c:v>
                </c:pt>
                <c:pt idx="4">
                  <c:v>Sungjae Im</c:v>
                </c:pt>
                <c:pt idx="5">
                  <c:v>Aaron Rai</c:v>
                </c:pt>
                <c:pt idx="6">
                  <c:v>Jon Rahm</c:v>
                </c:pt>
                <c:pt idx="7">
                  <c:v>Alex Smalley</c:v>
                </c:pt>
                <c:pt idx="8">
                  <c:v>Rory McIlroy</c:v>
                </c:pt>
                <c:pt idx="9">
                  <c:v>Xander Schauffele</c:v>
                </c:pt>
                <c:pt idx="10">
                  <c:v>Cameron Smith</c:v>
                </c:pt>
                <c:pt idx="11">
                  <c:v>Kurt Kitayama</c:v>
                </c:pt>
              </c:strCache>
            </c:strRef>
          </c:cat>
          <c:val>
            <c:numRef>
              <c:f>PGA_2026!$Z$6:$Z$17</c:f>
              <c:numCache>
                <c:formatCode>General</c:formatCode>
                <c:ptCount val="12"/>
                <c:pt idx="0">
                  <c:v>7.79</c:v>
                </c:pt>
                <c:pt idx="1">
                  <c:v>7.05</c:v>
                </c:pt>
                <c:pt idx="2">
                  <c:v>6.77</c:v>
                </c:pt>
                <c:pt idx="3">
                  <c:v>6.76</c:v>
                </c:pt>
                <c:pt idx="4">
                  <c:v>5.85</c:v>
                </c:pt>
                <c:pt idx="5">
                  <c:v>7.76</c:v>
                </c:pt>
                <c:pt idx="6">
                  <c:v>7.49</c:v>
                </c:pt>
                <c:pt idx="7">
                  <c:v>6.83</c:v>
                </c:pt>
                <c:pt idx="8">
                  <c:v>7.51</c:v>
                </c:pt>
                <c:pt idx="9">
                  <c:v>7.58</c:v>
                </c:pt>
                <c:pt idx="10">
                  <c:v>6.69</c:v>
                </c:pt>
                <c:pt idx="11">
                  <c:v>6.47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2-4672-A960-1D497E956193}"/>
            </c:ext>
          </c:extLst>
        </c:ser>
        <c:ser>
          <c:idx val="1"/>
          <c:order val="1"/>
          <c:tx>
            <c:v>Outcome Rating</c:v>
          </c:tx>
          <c:invertIfNegative val="1"/>
          <c:cat>
            <c:strRef>
              <c:f>PGA_2026!$Y$6:$Y$17</c:f>
              <c:strCache>
                <c:ptCount val="12"/>
                <c:pt idx="0">
                  <c:v>Scottie Scheffler</c:v>
                </c:pt>
                <c:pt idx="1">
                  <c:v>Justin Thomas</c:v>
                </c:pt>
                <c:pt idx="2">
                  <c:v>Joaquin Niemann</c:v>
                </c:pt>
                <c:pt idx="3">
                  <c:v>Corey Conners</c:v>
                </c:pt>
                <c:pt idx="4">
                  <c:v>Sungjae Im</c:v>
                </c:pt>
                <c:pt idx="5">
                  <c:v>Aaron Rai</c:v>
                </c:pt>
                <c:pt idx="6">
                  <c:v>Jon Rahm</c:v>
                </c:pt>
                <c:pt idx="7">
                  <c:v>Alex Smalley</c:v>
                </c:pt>
                <c:pt idx="8">
                  <c:v>Rory McIlroy</c:v>
                </c:pt>
                <c:pt idx="9">
                  <c:v>Xander Schauffele</c:v>
                </c:pt>
                <c:pt idx="10">
                  <c:v>Cameron Smith</c:v>
                </c:pt>
                <c:pt idx="11">
                  <c:v>Kurt Kitayama</c:v>
                </c:pt>
              </c:strCache>
            </c:strRef>
          </c:cat>
          <c:val>
            <c:numRef>
              <c:f>PGA_2026!$AA$6:$AA$17</c:f>
              <c:numCache>
                <c:formatCode>General</c:formatCode>
                <c:ptCount val="12"/>
                <c:pt idx="0">
                  <c:v>6.6</c:v>
                </c:pt>
                <c:pt idx="1">
                  <c:v>8.3000000000000007</c:v>
                </c:pt>
                <c:pt idx="2">
                  <c:v>6.2</c:v>
                </c:pt>
                <c:pt idx="3">
                  <c:v>2.8</c:v>
                </c:pt>
                <c:pt idx="4">
                  <c:v>1</c:v>
                </c:pt>
                <c:pt idx="5">
                  <c:v>10</c:v>
                </c:pt>
                <c:pt idx="6">
                  <c:v>9.1999999999999993</c:v>
                </c:pt>
                <c:pt idx="7">
                  <c:v>9.1999999999999993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2-4672-A960-1D497E95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18</xdr:row>
      <xdr:rowOff>0</xdr:rowOff>
    </xdr:from>
    <xdr:to>
      <xdr:col>33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GARatingsTable" displayName="PGARatingsTable" ref="A12:W35">
  <tableColumns count="23">
    <tableColumn id="1" xr3:uid="{00000000-0010-0000-0000-000001000000}" name="My Status"/>
    <tableColumn id="2" xr3:uid="{00000000-0010-0000-0000-000002000000}" name="Tier"/>
    <tableColumn id="3" xr3:uid="{00000000-0010-0000-0000-000003000000}" name="Player"/>
    <tableColumn id="4" xr3:uid="{00000000-0010-0000-0000-000004000000}" name="Pre-Tournament Role"/>
    <tableColumn id="5" xr3:uid="{00000000-0010-0000-0000-000005000000}" name="Final Finish"/>
    <tableColumn id="6" xr3:uid="{00000000-0010-0000-0000-000006000000}" name="Final Score" dataDxfId="4"/>
    <tableColumn id="7" xr3:uid="{00000000-0010-0000-0000-000007000000}" name="Round 1"/>
    <tableColumn id="8" xr3:uid="{00000000-0010-0000-0000-000008000000}" name="Round 2"/>
    <tableColumn id="9" xr3:uid="{00000000-0010-0000-0000-000009000000}" name="Round 3"/>
    <tableColumn id="10" xr3:uid="{00000000-0010-0000-0000-00000A000000}" name="Round 4"/>
    <tableColumn id="11" xr3:uid="{00000000-0010-0000-0000-00000B000000}" name="Course Fit"/>
    <tableColumn id="12" xr3:uid="{00000000-0010-0000-0000-00000C000000}" name="Recent Form"/>
    <tableColumn id="13" xr3:uid="{00000000-0010-0000-0000-00000D000000}" name="Major Pedigree"/>
    <tableColumn id="14" xr3:uid="{00000000-0010-0000-0000-00000E000000}" name="Cut Safety"/>
    <tableColumn id="15" xr3:uid="{00000000-0010-0000-0000-00000F000000}" name="Leverage"/>
    <tableColumn id="16" xr3:uid="{00000000-0010-0000-0000-000010000000}" name="Risk"/>
    <tableColumn id="17" xr3:uid="{00000000-0010-0000-0000-000011000000}" name="Model Rating"/>
    <tableColumn id="18" xr3:uid="{00000000-0010-0000-0000-000012000000}" name="Outcome Rating"/>
    <tableColumn id="19" xr3:uid="{00000000-0010-0000-0000-000013000000}" name="Pool Grade"/>
    <tableColumn id="20" xr3:uid="{00000000-0010-0000-0000-000014000000}" name="Primary Strength"/>
    <tableColumn id="21" xr3:uid="{00000000-0010-0000-0000-000015000000}" name="Main Weakness / Risk"/>
    <tableColumn id="22" xr3:uid="{00000000-0010-0000-0000-000016000000}" name="What Happened / Pool Lesson"/>
    <tableColumn id="23" xr3:uid="{00000000-0010-0000-0000-000017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topLeftCell="A11" workbookViewId="0">
      <selection activeCell="W19" sqref="W19"/>
    </sheetView>
  </sheetViews>
  <sheetFormatPr defaultRowHeight="14"/>
  <cols>
    <col min="1" max="1" width="28" customWidth="1"/>
    <col min="2" max="2" width="12" customWidth="1"/>
    <col min="3" max="3" width="28" customWidth="1"/>
    <col min="4" max="6" width="20" customWidth="1"/>
    <col min="7" max="7" width="10.25" customWidth="1"/>
    <col min="8" max="8" width="12" customWidth="1"/>
    <col min="9" max="10" width="8" customWidth="1"/>
    <col min="11" max="12" width="12" customWidth="1"/>
    <col min="13" max="13" width="14" customWidth="1"/>
    <col min="14" max="14" width="12" customWidth="1"/>
    <col min="15" max="15" width="11" customWidth="1"/>
    <col min="16" max="16" width="9" customWidth="1"/>
    <col min="17" max="17" width="13" customWidth="1"/>
    <col min="18" max="18" width="14" customWidth="1"/>
    <col min="19" max="19" width="12" customWidth="1"/>
    <col min="20" max="20" width="26" customWidth="1"/>
    <col min="21" max="21" width="30" customWidth="1"/>
    <col min="22" max="22" width="44" customWidth="1"/>
    <col min="23" max="23" width="48" customWidth="1"/>
    <col min="25" max="27" width="16" customWidth="1"/>
  </cols>
  <sheetData>
    <row r="1" spans="1:27" ht="18.649999999999999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7" ht="16" customHeight="1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4" spans="1:27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Y4" s="10" t="s">
        <v>3</v>
      </c>
      <c r="Z4" s="11"/>
      <c r="AA4" s="11"/>
    </row>
    <row r="5" spans="1:27">
      <c r="A5" s="2" t="s">
        <v>4</v>
      </c>
      <c r="B5" s="2" t="s">
        <v>5</v>
      </c>
      <c r="C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Y5" s="1" t="s">
        <v>11</v>
      </c>
      <c r="Z5" s="1" t="s">
        <v>12</v>
      </c>
      <c r="AA5" s="1" t="s">
        <v>13</v>
      </c>
    </row>
    <row r="6" spans="1:27" ht="70">
      <c r="A6" s="3" t="s">
        <v>14</v>
      </c>
      <c r="B6" s="3" t="s">
        <v>15</v>
      </c>
      <c r="C6" s="3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Y6" t="str">
        <f t="shared" ref="Y6:Y17" si="0">C13</f>
        <v>Scottie Scheffler</v>
      </c>
      <c r="Z6">
        <f t="shared" ref="Z6:Z17" si="1">Q13</f>
        <v>7.79</v>
      </c>
      <c r="AA6">
        <f t="shared" ref="AA6:AA17" si="2">R13</f>
        <v>6.6</v>
      </c>
    </row>
    <row r="7" spans="1:27" ht="84">
      <c r="A7" s="3" t="s">
        <v>21</v>
      </c>
      <c r="B7" s="3" t="s">
        <v>22</v>
      </c>
      <c r="C7" s="3" t="s">
        <v>23</v>
      </c>
      <c r="Y7" t="str">
        <f t="shared" si="0"/>
        <v>Justin Thomas</v>
      </c>
      <c r="Z7">
        <f t="shared" si="1"/>
        <v>7.05</v>
      </c>
      <c r="AA7">
        <f t="shared" si="2"/>
        <v>8.3000000000000007</v>
      </c>
    </row>
    <row r="8" spans="1:27" ht="42">
      <c r="A8" s="3" t="s">
        <v>24</v>
      </c>
      <c r="B8" s="3" t="s">
        <v>25</v>
      </c>
      <c r="C8" s="3" t="s">
        <v>26</v>
      </c>
      <c r="Y8" t="str">
        <f t="shared" si="0"/>
        <v>Joaquin Niemann</v>
      </c>
      <c r="Z8">
        <f t="shared" si="1"/>
        <v>6.77</v>
      </c>
      <c r="AA8">
        <f t="shared" si="2"/>
        <v>6.2</v>
      </c>
    </row>
    <row r="9" spans="1:27" ht="56">
      <c r="A9" s="3" t="s">
        <v>27</v>
      </c>
      <c r="B9" s="3" t="s">
        <v>28</v>
      </c>
      <c r="C9" s="3" t="s">
        <v>29</v>
      </c>
      <c r="Y9" t="str">
        <f t="shared" si="0"/>
        <v>Corey Conners</v>
      </c>
      <c r="Z9">
        <f t="shared" si="1"/>
        <v>6.76</v>
      </c>
      <c r="AA9">
        <f t="shared" si="2"/>
        <v>2.8</v>
      </c>
    </row>
    <row r="10" spans="1:27" ht="16.5">
      <c r="A10" s="12" t="s">
        <v>30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Y10" t="str">
        <f t="shared" si="0"/>
        <v>Sungjae Im</v>
      </c>
      <c r="Z10">
        <f t="shared" si="1"/>
        <v>5.85</v>
      </c>
      <c r="AA10">
        <f t="shared" si="2"/>
        <v>1</v>
      </c>
    </row>
    <row r="11" spans="1:27">
      <c r="Y11" t="str">
        <f t="shared" si="0"/>
        <v>Aaron Rai</v>
      </c>
      <c r="Z11">
        <f t="shared" si="1"/>
        <v>7.76</v>
      </c>
      <c r="AA11">
        <f t="shared" si="2"/>
        <v>10</v>
      </c>
    </row>
    <row r="12" spans="1:27" ht="28" customHeight="1">
      <c r="A12" s="5" t="s">
        <v>31</v>
      </c>
      <c r="B12" s="5" t="s">
        <v>32</v>
      </c>
      <c r="C12" s="5" t="s">
        <v>11</v>
      </c>
      <c r="D12" s="5" t="s">
        <v>33</v>
      </c>
      <c r="E12" s="5" t="s">
        <v>34</v>
      </c>
      <c r="F12" s="5" t="s">
        <v>35</v>
      </c>
      <c r="G12" s="5" t="s">
        <v>195</v>
      </c>
      <c r="H12" s="5" t="s">
        <v>196</v>
      </c>
      <c r="I12" s="5" t="s">
        <v>197</v>
      </c>
      <c r="J12" s="5" t="s">
        <v>198</v>
      </c>
      <c r="K12" s="5" t="s">
        <v>36</v>
      </c>
      <c r="L12" s="5" t="s">
        <v>37</v>
      </c>
      <c r="M12" s="5" t="s">
        <v>38</v>
      </c>
      <c r="N12" s="5" t="s">
        <v>39</v>
      </c>
      <c r="O12" s="5" t="s">
        <v>40</v>
      </c>
      <c r="P12" s="5" t="s">
        <v>41</v>
      </c>
      <c r="Q12" s="5" t="s">
        <v>12</v>
      </c>
      <c r="R12" s="5" t="s">
        <v>13</v>
      </c>
      <c r="S12" s="5" t="s">
        <v>42</v>
      </c>
      <c r="T12" s="5" t="s">
        <v>43</v>
      </c>
      <c r="U12" s="5" t="s">
        <v>44</v>
      </c>
      <c r="V12" s="5" t="s">
        <v>45</v>
      </c>
      <c r="W12" s="5" t="s">
        <v>46</v>
      </c>
      <c r="Y12" t="str">
        <f t="shared" si="0"/>
        <v>Jon Rahm</v>
      </c>
      <c r="Z12">
        <f t="shared" si="1"/>
        <v>7.49</v>
      </c>
      <c r="AA12">
        <f t="shared" si="2"/>
        <v>9.1999999999999993</v>
      </c>
    </row>
    <row r="13" spans="1:27" ht="24" customHeight="1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  <c r="F13" s="14">
        <v>-2</v>
      </c>
      <c r="G13" s="3">
        <v>67</v>
      </c>
      <c r="H13" s="3">
        <v>71</v>
      </c>
      <c r="I13" s="3">
        <v>71</v>
      </c>
      <c r="J13" s="3">
        <v>69</v>
      </c>
      <c r="K13" s="6">
        <v>8.5</v>
      </c>
      <c r="L13" s="6">
        <v>9.5</v>
      </c>
      <c r="M13" s="6">
        <v>10</v>
      </c>
      <c r="N13" s="6">
        <v>9.6</v>
      </c>
      <c r="O13" s="6">
        <v>3.5</v>
      </c>
      <c r="P13" s="6">
        <v>4</v>
      </c>
      <c r="Q13" s="6">
        <f t="shared" ref="Q13:Q35" si="3">ROUND((K13*0.25)+(L13*0.18)+(M13*0.18)+(N13*0.17)+(O13*0.12)-((P13-5)*0.1),2)</f>
        <v>7.79</v>
      </c>
      <c r="R13" s="6" cm="1">
        <f t="array" ref="R13">_xlfn.IFS(E13="Win",10,E13="2",9.2,LEFT(E13,2)="T2",9.2,LEFT(E13,2)="T3",8.8,LEFT(E13,2)="T4",8.3,LEFT(E13,2)="T7",7.8,LEFT(E13,2)="T9",7.4,LEFT(E13,3)="T10",7.2,LEFT(E13,3)="T12",6.9,LEFT(E13,3)="T14",6.6,LEFT(E13,3)="T18",6.2,LEFT(E13,3)="T21",5.8,LEFT(E13,3)="T26",5.4,LEFT(E13,3)="T30",5,LEFT(E13,3)="T33",4.6,E13="46",3.4,E13="55",2.8,E13="CUT",1,E13="Unknown",3,TRUE,5)</f>
        <v>6.6</v>
      </c>
      <c r="S13" s="3" t="s">
        <v>52</v>
      </c>
      <c r="T13" s="3" t="s">
        <v>53</v>
      </c>
      <c r="U13" s="3" t="s">
        <v>54</v>
      </c>
      <c r="V13" s="3" t="s">
        <v>55</v>
      </c>
      <c r="W13" s="3" t="s">
        <v>56</v>
      </c>
      <c r="Y13" t="str">
        <f t="shared" si="0"/>
        <v>Alex Smalley</v>
      </c>
      <c r="Z13">
        <f t="shared" si="1"/>
        <v>6.83</v>
      </c>
      <c r="AA13">
        <f t="shared" si="2"/>
        <v>9.1999999999999993</v>
      </c>
    </row>
    <row r="14" spans="1:27" ht="24" customHeight="1">
      <c r="A14" s="3" t="s">
        <v>47</v>
      </c>
      <c r="B14" s="3" t="s">
        <v>57</v>
      </c>
      <c r="C14" s="3" t="s">
        <v>58</v>
      </c>
      <c r="D14" s="3" t="s">
        <v>59</v>
      </c>
      <c r="E14" s="3" t="s">
        <v>60</v>
      </c>
      <c r="F14" s="13">
        <v>-5</v>
      </c>
      <c r="G14" s="3">
        <v>69</v>
      </c>
      <c r="H14" s="3">
        <v>69</v>
      </c>
      <c r="I14" s="3">
        <v>72</v>
      </c>
      <c r="J14" s="3">
        <v>65</v>
      </c>
      <c r="K14" s="6">
        <v>8.1999999999999993</v>
      </c>
      <c r="L14" s="6">
        <v>7.1</v>
      </c>
      <c r="M14" s="6">
        <v>9.1999999999999993</v>
      </c>
      <c r="N14" s="6">
        <v>7.8</v>
      </c>
      <c r="O14" s="6">
        <v>7.2</v>
      </c>
      <c r="P14" s="6">
        <v>6.2</v>
      </c>
      <c r="Q14" s="6">
        <f t="shared" si="3"/>
        <v>7.05</v>
      </c>
      <c r="R14" s="6" cm="1">
        <f t="array" ref="R14">_xlfn.IFS(E14="Win",10,E14="2",9.2,LEFT(E14,2)="T2",9.2,LEFT(E14,2)="T3",8.8,LEFT(E14,2)="T4",8.3,LEFT(E14,2)="T7",7.8,LEFT(E14,2)="T9",7.4,LEFT(E14,3)="T10",7.2,LEFT(E14,3)="T12",6.9,LEFT(E14,3)="T14",6.6,LEFT(E14,3)="T18",6.2,LEFT(E14,3)="T21",5.8,LEFT(E14,3)="T26",5.4,LEFT(E14,3)="T30",5,LEFT(E14,3)="T33",4.6,E14="46",3.4,E14="55",2.8,E14="CUT",1,E14="Unknown",3,TRUE,5)</f>
        <v>8.3000000000000007</v>
      </c>
      <c r="S14" s="3" t="s">
        <v>61</v>
      </c>
      <c r="T14" s="3" t="s">
        <v>62</v>
      </c>
      <c r="U14" s="3" t="s">
        <v>63</v>
      </c>
      <c r="V14" s="3" t="s">
        <v>64</v>
      </c>
      <c r="W14" s="3" t="s">
        <v>65</v>
      </c>
      <c r="Y14" t="str">
        <f t="shared" si="0"/>
        <v>Rory McIlroy</v>
      </c>
      <c r="Z14">
        <f t="shared" si="1"/>
        <v>7.51</v>
      </c>
      <c r="AA14">
        <f t="shared" si="2"/>
        <v>7.8</v>
      </c>
    </row>
    <row r="15" spans="1:27" ht="24" customHeight="1">
      <c r="A15" s="3" t="s">
        <v>47</v>
      </c>
      <c r="B15" s="3" t="s">
        <v>66</v>
      </c>
      <c r="C15" s="3" t="s">
        <v>67</v>
      </c>
      <c r="D15" s="3" t="s">
        <v>40</v>
      </c>
      <c r="E15" s="3" t="s">
        <v>68</v>
      </c>
      <c r="F15" s="13">
        <v>-1</v>
      </c>
      <c r="G15" s="3">
        <v>69</v>
      </c>
      <c r="H15" s="3">
        <v>73</v>
      </c>
      <c r="I15" s="3">
        <v>66</v>
      </c>
      <c r="J15" s="3">
        <v>71</v>
      </c>
      <c r="K15" s="6">
        <v>7.8</v>
      </c>
      <c r="L15" s="6">
        <v>8.4</v>
      </c>
      <c r="M15" s="6">
        <v>7.2</v>
      </c>
      <c r="N15" s="6">
        <v>7.3</v>
      </c>
      <c r="O15" s="6">
        <v>7.9</v>
      </c>
      <c r="P15" s="6">
        <v>6.8</v>
      </c>
      <c r="Q15" s="6">
        <f t="shared" si="3"/>
        <v>6.77</v>
      </c>
      <c r="R15" s="6" cm="1">
        <f t="array" ref="R15">_xlfn.IFS(E15="Win",10,E15="2",9.2,LEFT(E15,2)="T2",9.2,LEFT(E15,2)="T3",8.8,LEFT(E15,2)="T4",8.3,LEFT(E15,2)="T7",7.8,LEFT(E15,2)="T9",7.4,LEFT(E15,3)="T10",7.2,LEFT(E15,3)="T12",6.9,LEFT(E15,3)="T14",6.6,LEFT(E15,3)="T18",6.2,LEFT(E15,3)="T21",5.8,LEFT(E15,3)="T26",5.4,LEFT(E15,3)="T30",5,LEFT(E15,3)="T33",4.6,E15="46",3.4,E15="55",2.8,E15="CUT",1,E15="Unknown",3,TRUE,5)</f>
        <v>6.2</v>
      </c>
      <c r="S15" s="3" t="s">
        <v>52</v>
      </c>
      <c r="T15" s="3" t="s">
        <v>69</v>
      </c>
      <c r="U15" s="3" t="s">
        <v>70</v>
      </c>
      <c r="V15" s="3" t="s">
        <v>71</v>
      </c>
      <c r="W15" s="3" t="s">
        <v>56</v>
      </c>
      <c r="Y15" t="str">
        <f t="shared" si="0"/>
        <v>Xander Schauffele</v>
      </c>
      <c r="Z15">
        <f t="shared" si="1"/>
        <v>7.58</v>
      </c>
      <c r="AA15">
        <f t="shared" si="2"/>
        <v>7.8</v>
      </c>
    </row>
    <row r="16" spans="1:27" ht="24" customHeight="1">
      <c r="A16" s="3" t="s">
        <v>47</v>
      </c>
      <c r="B16" s="3" t="s">
        <v>72</v>
      </c>
      <c r="C16" s="3" t="s">
        <v>73</v>
      </c>
      <c r="D16" s="3" t="s">
        <v>36</v>
      </c>
      <c r="E16" s="3" t="s">
        <v>74</v>
      </c>
      <c r="F16" s="13">
        <v>3</v>
      </c>
      <c r="G16" s="3">
        <v>68</v>
      </c>
      <c r="H16" s="3">
        <v>73</v>
      </c>
      <c r="I16" s="3">
        <v>72</v>
      </c>
      <c r="J16" s="3">
        <v>70</v>
      </c>
      <c r="K16" s="6">
        <v>8</v>
      </c>
      <c r="L16" s="6">
        <v>7.5</v>
      </c>
      <c r="M16" s="6">
        <v>7.4</v>
      </c>
      <c r="N16" s="6">
        <v>8.4</v>
      </c>
      <c r="O16" s="6">
        <v>6.1</v>
      </c>
      <c r="P16" s="6">
        <v>5.8</v>
      </c>
      <c r="Q16" s="6">
        <f t="shared" si="3"/>
        <v>6.76</v>
      </c>
      <c r="R16" s="6" cm="1">
        <f t="array" ref="R16">_xlfn.IFS(E16="Win",10,E16="2",9.2,LEFT(E16,2)="T2",9.2,LEFT(E16,2)="T3",8.8,LEFT(E16,2)="T4",8.3,LEFT(E16,2)="T7",7.8,LEFT(E16,2)="T9",7.4,LEFT(E16,3)="T10",7.2,LEFT(E16,3)="T12",6.9,LEFT(E16,3)="T14",6.6,LEFT(E16,3)="T18",6.2,LEFT(E16,3)="T21",5.8,LEFT(E16,3)="T26",5.4,LEFT(E16,3)="T30",5,LEFT(E16,3)="T33",4.6,E16="46",3.4,E16="55",2.8,E16="CUT",1,E16="Unknown",3,TRUE,5)</f>
        <v>2.8</v>
      </c>
      <c r="S16" s="3" t="s">
        <v>75</v>
      </c>
      <c r="T16" s="3" t="s">
        <v>76</v>
      </c>
      <c r="U16" s="3" t="s">
        <v>77</v>
      </c>
      <c r="V16" s="3" t="s">
        <v>78</v>
      </c>
      <c r="W16" s="3" t="s">
        <v>79</v>
      </c>
      <c r="Y16" t="str">
        <f t="shared" si="0"/>
        <v>Cameron Smith</v>
      </c>
      <c r="Z16">
        <f t="shared" si="1"/>
        <v>6.69</v>
      </c>
      <c r="AA16">
        <f t="shared" si="2"/>
        <v>7.8</v>
      </c>
    </row>
    <row r="17" spans="1:27" ht="24" customHeight="1">
      <c r="A17" s="3" t="s">
        <v>47</v>
      </c>
      <c r="B17" s="3" t="s">
        <v>80</v>
      </c>
      <c r="C17" s="3" t="s">
        <v>81</v>
      </c>
      <c r="D17" s="3" t="s">
        <v>82</v>
      </c>
      <c r="E17" s="3" t="s">
        <v>83</v>
      </c>
      <c r="F17" s="15" t="s">
        <v>83</v>
      </c>
      <c r="G17" s="3">
        <v>73</v>
      </c>
      <c r="H17" s="3">
        <v>72</v>
      </c>
      <c r="I17" s="3" t="s">
        <v>83</v>
      </c>
      <c r="J17" s="3" t="s">
        <v>83</v>
      </c>
      <c r="K17" s="6">
        <v>7.5</v>
      </c>
      <c r="L17" s="6">
        <v>6.8</v>
      </c>
      <c r="M17" s="6">
        <v>7</v>
      </c>
      <c r="N17" s="6">
        <v>5.5</v>
      </c>
      <c r="O17" s="6">
        <v>6.5</v>
      </c>
      <c r="P17" s="6">
        <v>7.2</v>
      </c>
      <c r="Q17" s="6">
        <f t="shared" si="3"/>
        <v>5.85</v>
      </c>
      <c r="R17" s="6" cm="1">
        <f t="array" ref="R17">_xlfn.IFS(E17="Win",10,E17="2",9.2,LEFT(E17,2)="T2",9.2,LEFT(E17,2)="T3",8.8,LEFT(E17,2)="T4",8.3,LEFT(E17,2)="T7",7.8,LEFT(E17,2)="T9",7.4,LEFT(E17,3)="T10",7.2,LEFT(E17,3)="T12",6.9,LEFT(E17,3)="T14",6.6,LEFT(E17,3)="T18",6.2,LEFT(E17,3)="T21",5.8,LEFT(E17,3)="T26",5.4,LEFT(E17,3)="T30",5,LEFT(E17,3)="T33",4.6,E17="46",3.4,E17="55",2.8,E17="CUT",1,E17="Unknown",3,TRUE,5)</f>
        <v>1</v>
      </c>
      <c r="S17" s="3" t="s">
        <v>84</v>
      </c>
      <c r="T17" s="3" t="s">
        <v>85</v>
      </c>
      <c r="U17" s="3" t="s">
        <v>86</v>
      </c>
      <c r="V17" s="3" t="s">
        <v>87</v>
      </c>
      <c r="W17" s="3" t="s">
        <v>88</v>
      </c>
      <c r="Y17" t="str">
        <f t="shared" si="0"/>
        <v>Kurt Kitayama</v>
      </c>
      <c r="Z17">
        <f t="shared" si="1"/>
        <v>6.47</v>
      </c>
      <c r="AA17">
        <f t="shared" si="2"/>
        <v>7.2</v>
      </c>
    </row>
    <row r="18" spans="1:27" ht="24" customHeight="1">
      <c r="A18" s="3" t="s">
        <v>47</v>
      </c>
      <c r="B18" s="3" t="s">
        <v>89</v>
      </c>
      <c r="C18" s="3" t="s">
        <v>18</v>
      </c>
      <c r="D18" s="3" t="s">
        <v>90</v>
      </c>
      <c r="E18" s="3" t="s">
        <v>91</v>
      </c>
      <c r="F18" s="13">
        <v>-9</v>
      </c>
      <c r="G18" s="3">
        <v>70</v>
      </c>
      <c r="H18" s="3">
        <v>69</v>
      </c>
      <c r="I18" s="3">
        <v>67</v>
      </c>
      <c r="J18" s="3">
        <v>65</v>
      </c>
      <c r="K18" s="6">
        <v>9.4</v>
      </c>
      <c r="L18" s="6">
        <v>8.8000000000000007</v>
      </c>
      <c r="M18" s="6">
        <v>6.8</v>
      </c>
      <c r="N18" s="6">
        <v>8.6</v>
      </c>
      <c r="O18" s="6">
        <v>9.6999999999999993</v>
      </c>
      <c r="P18" s="6">
        <v>5.2</v>
      </c>
      <c r="Q18" s="6">
        <f t="shared" si="3"/>
        <v>7.76</v>
      </c>
      <c r="R18" s="6" cm="1">
        <f t="array" ref="R18">_xlfn.IFS(E18="Win",10,E18="2",9.2,LEFT(E18,2)="T2",9.2,LEFT(E18,2)="T3",8.8,LEFT(E18,2)="T4",8.3,LEFT(E18,2)="T7",7.8,LEFT(E18,2)="T9",7.4,LEFT(E18,3)="T10",7.2,LEFT(E18,3)="T12",6.9,LEFT(E18,3)="T14",6.6,LEFT(E18,3)="T18",6.2,LEFT(E18,3)="T21",5.8,LEFT(E18,3)="T26",5.4,LEFT(E18,3)="T30",5,LEFT(E18,3)="T33",4.6,E18="46",3.4,E18="55",2.8,E18="CUT",1,E18="Unknown",3,TRUE,5)</f>
        <v>10</v>
      </c>
      <c r="S18" s="3" t="s">
        <v>92</v>
      </c>
      <c r="T18" s="3" t="s">
        <v>93</v>
      </c>
      <c r="U18" s="3" t="s">
        <v>94</v>
      </c>
      <c r="V18" s="3" t="s">
        <v>95</v>
      </c>
      <c r="W18" s="3" t="s">
        <v>96</v>
      </c>
    </row>
    <row r="19" spans="1:27" ht="24" customHeight="1">
      <c r="A19" s="3" t="s">
        <v>97</v>
      </c>
      <c r="B19" s="3" t="s">
        <v>48</v>
      </c>
      <c r="C19" s="3" t="s">
        <v>98</v>
      </c>
      <c r="D19" s="3" t="s">
        <v>99</v>
      </c>
      <c r="E19" s="3" t="s">
        <v>100</v>
      </c>
      <c r="F19" s="13">
        <v>-6</v>
      </c>
      <c r="G19" s="3">
        <v>69</v>
      </c>
      <c r="H19" s="3">
        <v>70</v>
      </c>
      <c r="I19" s="3">
        <v>67</v>
      </c>
      <c r="J19" s="3">
        <v>68</v>
      </c>
      <c r="K19" s="6">
        <v>8.8000000000000007</v>
      </c>
      <c r="L19" s="6">
        <v>8.6999999999999993</v>
      </c>
      <c r="M19" s="6">
        <v>9.6</v>
      </c>
      <c r="N19" s="6">
        <v>8</v>
      </c>
      <c r="O19" s="6">
        <v>5.8</v>
      </c>
      <c r="P19" s="6">
        <v>5.6</v>
      </c>
      <c r="Q19" s="6">
        <f t="shared" si="3"/>
        <v>7.49</v>
      </c>
      <c r="R19" s="6" cm="1">
        <f t="array" ref="R19">_xlfn.IFS(E19="Win",10,E19="2",9.2,LEFT(E19,2)="T2",9.2,LEFT(E19,2)="T3",8.8,LEFT(E19,2)="T4",8.3,LEFT(E19,2)="T7",7.8,LEFT(E19,2)="T9",7.4,LEFT(E19,3)="T10",7.2,LEFT(E19,3)="T12",6.9,LEFT(E19,3)="T14",6.6,LEFT(E19,3)="T18",6.2,LEFT(E19,3)="T21",5.8,LEFT(E19,3)="T26",5.4,LEFT(E19,3)="T30",5,LEFT(E19,3)="T33",4.6,E19="46",3.4,E19="55",2.8,E19="CUT",1,E19="Unknown",3,TRUE,5)</f>
        <v>9.1999999999999993</v>
      </c>
      <c r="S19" s="3" t="s">
        <v>61</v>
      </c>
      <c r="T19" s="3" t="s">
        <v>101</v>
      </c>
      <c r="U19" s="3" t="s">
        <v>102</v>
      </c>
      <c r="V19" s="3" t="s">
        <v>103</v>
      </c>
      <c r="W19" s="3" t="s">
        <v>96</v>
      </c>
    </row>
    <row r="20" spans="1:27" ht="24" customHeight="1">
      <c r="A20" s="3" t="s">
        <v>104</v>
      </c>
      <c r="B20" s="3" t="s">
        <v>105</v>
      </c>
      <c r="C20" s="3" t="s">
        <v>106</v>
      </c>
      <c r="D20" s="3" t="s">
        <v>90</v>
      </c>
      <c r="E20" s="3" t="s">
        <v>100</v>
      </c>
      <c r="F20" s="13">
        <v>-6</v>
      </c>
      <c r="G20" s="3">
        <v>67</v>
      </c>
      <c r="H20" s="3">
        <v>69</v>
      </c>
      <c r="I20" s="3">
        <v>68</v>
      </c>
      <c r="J20" s="3">
        <v>70</v>
      </c>
      <c r="K20" s="6">
        <v>8.1</v>
      </c>
      <c r="L20" s="6">
        <v>8.3000000000000007</v>
      </c>
      <c r="M20" s="6">
        <v>5.8</v>
      </c>
      <c r="N20" s="6">
        <v>7.8</v>
      </c>
      <c r="O20" s="6">
        <v>9</v>
      </c>
      <c r="P20" s="6">
        <v>6.4</v>
      </c>
      <c r="Q20" s="6">
        <f t="shared" si="3"/>
        <v>6.83</v>
      </c>
      <c r="R20" s="6" cm="1">
        <f t="array" ref="R20">_xlfn.IFS(E20="Win",10,E20="2",9.2,LEFT(E20,2)="T2",9.2,LEFT(E20,2)="T3",8.8,LEFT(E20,2)="T4",8.3,LEFT(E20,2)="T7",7.8,LEFT(E20,2)="T9",7.4,LEFT(E20,3)="T10",7.2,LEFT(E20,3)="T12",6.9,LEFT(E20,3)="T14",6.6,LEFT(E20,3)="T18",6.2,LEFT(E20,3)="T21",5.8,LEFT(E20,3)="T26",5.4,LEFT(E20,3)="T30",5,LEFT(E20,3)="T33",4.6,E20="46",3.4,E20="55",2.8,E20="CUT",1,E20="Unknown",3,TRUE,5)</f>
        <v>9.1999999999999993</v>
      </c>
      <c r="S20" s="3" t="s">
        <v>92</v>
      </c>
      <c r="T20" s="3" t="s">
        <v>107</v>
      </c>
      <c r="U20" s="3" t="s">
        <v>108</v>
      </c>
      <c r="V20" s="3" t="s">
        <v>109</v>
      </c>
      <c r="W20" s="3" t="s">
        <v>96</v>
      </c>
    </row>
    <row r="21" spans="1:27" ht="24" customHeight="1">
      <c r="A21" s="3" t="s">
        <v>104</v>
      </c>
      <c r="B21" s="3" t="s">
        <v>57</v>
      </c>
      <c r="C21" s="3" t="s">
        <v>110</v>
      </c>
      <c r="D21" s="3" t="s">
        <v>111</v>
      </c>
      <c r="E21" s="3" t="s">
        <v>112</v>
      </c>
      <c r="F21" s="13">
        <v>-4</v>
      </c>
      <c r="G21" s="3">
        <v>74</v>
      </c>
      <c r="H21" s="3">
        <v>67</v>
      </c>
      <c r="I21" s="3">
        <v>66</v>
      </c>
      <c r="J21" s="3">
        <v>69</v>
      </c>
      <c r="K21" s="6">
        <v>8.6</v>
      </c>
      <c r="L21" s="6">
        <v>9.3000000000000007</v>
      </c>
      <c r="M21" s="6">
        <v>10</v>
      </c>
      <c r="N21" s="6">
        <v>8.6</v>
      </c>
      <c r="O21" s="6">
        <v>3.7</v>
      </c>
      <c r="P21" s="6">
        <v>5.2</v>
      </c>
      <c r="Q21" s="6">
        <f t="shared" si="3"/>
        <v>7.51</v>
      </c>
      <c r="R21" s="6" cm="1">
        <f t="array" ref="R21">_xlfn.IFS(E21="Win",10,E21="2",9.2,LEFT(E21,2)="T2",9.2,LEFT(E21,2)="T3",8.8,LEFT(E21,2)="T4",8.3,LEFT(E21,2)="T7",7.8,LEFT(E21,2)="T9",7.4,LEFT(E21,3)="T10",7.2,LEFT(E21,3)="T12",6.9,LEFT(E21,3)="T14",6.6,LEFT(E21,3)="T18",6.2,LEFT(E21,3)="T21",5.8,LEFT(E21,3)="T26",5.4,LEFT(E21,3)="T30",5,LEFT(E21,3)="T33",4.6,E21="46",3.4,E21="55",2.8,E21="CUT",1,E21="Unknown",3,TRUE,5)</f>
        <v>7.8</v>
      </c>
      <c r="S21" s="3" t="s">
        <v>113</v>
      </c>
      <c r="T21" s="3" t="s">
        <v>114</v>
      </c>
      <c r="U21" s="3" t="s">
        <v>115</v>
      </c>
      <c r="V21" s="3" t="s">
        <v>116</v>
      </c>
      <c r="W21" s="3" t="s">
        <v>96</v>
      </c>
    </row>
    <row r="22" spans="1:27" ht="24" customHeight="1">
      <c r="A22" s="3" t="s">
        <v>104</v>
      </c>
      <c r="B22" s="3" t="s">
        <v>57</v>
      </c>
      <c r="C22" s="3" t="s">
        <v>117</v>
      </c>
      <c r="D22" s="3" t="s">
        <v>50</v>
      </c>
      <c r="E22" s="3" t="s">
        <v>112</v>
      </c>
      <c r="F22" s="13">
        <v>-4</v>
      </c>
      <c r="G22" s="3">
        <v>68</v>
      </c>
      <c r="H22" s="3">
        <v>73</v>
      </c>
      <c r="I22" s="3">
        <v>66</v>
      </c>
      <c r="J22" s="3">
        <v>69</v>
      </c>
      <c r="K22" s="6">
        <v>8.6999999999999993</v>
      </c>
      <c r="L22" s="6">
        <v>8.4</v>
      </c>
      <c r="M22" s="6">
        <v>9.8000000000000007</v>
      </c>
      <c r="N22" s="6">
        <v>8.9</v>
      </c>
      <c r="O22" s="6">
        <v>4.8</v>
      </c>
      <c r="P22" s="6">
        <v>4.5999999999999996</v>
      </c>
      <c r="Q22" s="6">
        <f t="shared" si="3"/>
        <v>7.58</v>
      </c>
      <c r="R22" s="6" cm="1">
        <f t="array" ref="R22">_xlfn.IFS(E22="Win",10,E22="2",9.2,LEFT(E22,2)="T2",9.2,LEFT(E22,2)="T3",8.8,LEFT(E22,2)="T4",8.3,LEFT(E22,2)="T7",7.8,LEFT(E22,2)="T9",7.4,LEFT(E22,3)="T10",7.2,LEFT(E22,3)="T12",6.9,LEFT(E22,3)="T14",6.6,LEFT(E22,3)="T18",6.2,LEFT(E22,3)="T21",5.8,LEFT(E22,3)="T26",5.4,LEFT(E22,3)="T30",5,LEFT(E22,3)="T33",4.6,E22="46",3.4,E22="55",2.8,E22="CUT",1,E22="Unknown",3,TRUE,5)</f>
        <v>7.8</v>
      </c>
      <c r="S22" s="3" t="s">
        <v>113</v>
      </c>
      <c r="T22" s="3" t="s">
        <v>118</v>
      </c>
      <c r="U22" s="3" t="s">
        <v>119</v>
      </c>
      <c r="V22" s="3" t="s">
        <v>120</v>
      </c>
      <c r="W22" s="3" t="s">
        <v>96</v>
      </c>
    </row>
    <row r="23" spans="1:27" ht="24" customHeight="1">
      <c r="A23" s="3" t="s">
        <v>121</v>
      </c>
      <c r="B23" s="3" t="s">
        <v>72</v>
      </c>
      <c r="C23" s="3" t="s">
        <v>122</v>
      </c>
      <c r="D23" s="3" t="s">
        <v>123</v>
      </c>
      <c r="E23" s="3" t="s">
        <v>112</v>
      </c>
      <c r="F23" s="13">
        <v>-4</v>
      </c>
      <c r="G23" s="3">
        <v>69</v>
      </c>
      <c r="H23" s="3">
        <v>71</v>
      </c>
      <c r="I23" s="3">
        <v>68</v>
      </c>
      <c r="J23" s="3">
        <v>68</v>
      </c>
      <c r="K23" s="6">
        <v>7.8</v>
      </c>
      <c r="L23" s="6">
        <v>7.3</v>
      </c>
      <c r="M23" s="6">
        <v>9</v>
      </c>
      <c r="N23" s="6">
        <v>7</v>
      </c>
      <c r="O23" s="6">
        <v>6.9</v>
      </c>
      <c r="P23" s="6">
        <v>7.1</v>
      </c>
      <c r="Q23" s="6">
        <f t="shared" si="3"/>
        <v>6.69</v>
      </c>
      <c r="R23" s="6" cm="1">
        <f t="array" ref="R23">_xlfn.IFS(E23="Win",10,E23="2",9.2,LEFT(E23,2)="T2",9.2,LEFT(E23,2)="T3",8.8,LEFT(E23,2)="T4",8.3,LEFT(E23,2)="T7",7.8,LEFT(E23,2)="T9",7.4,LEFT(E23,3)="T10",7.2,LEFT(E23,3)="T12",6.9,LEFT(E23,3)="T14",6.6,LEFT(E23,3)="T18",6.2,LEFT(E23,3)="T21",5.8,LEFT(E23,3)="T26",5.4,LEFT(E23,3)="T30",5,LEFT(E23,3)="T33",4.6,E23="46",3.4,E23="55",2.8,E23="CUT",1,E23="Unknown",3,TRUE,5)</f>
        <v>7.8</v>
      </c>
      <c r="S23" s="3" t="s">
        <v>113</v>
      </c>
      <c r="T23" s="3" t="s">
        <v>124</v>
      </c>
      <c r="U23" s="3" t="s">
        <v>125</v>
      </c>
      <c r="V23" s="3" t="s">
        <v>126</v>
      </c>
      <c r="W23" s="3" t="s">
        <v>96</v>
      </c>
    </row>
    <row r="24" spans="1:27" ht="24" customHeight="1">
      <c r="A24" s="3" t="s">
        <v>104</v>
      </c>
      <c r="B24" s="3" t="s">
        <v>80</v>
      </c>
      <c r="C24" s="3" t="s">
        <v>127</v>
      </c>
      <c r="D24" s="3" t="s">
        <v>90</v>
      </c>
      <c r="E24" s="3" t="s">
        <v>128</v>
      </c>
      <c r="F24" s="13">
        <v>-3</v>
      </c>
      <c r="G24" s="3">
        <v>70</v>
      </c>
      <c r="H24" s="3">
        <v>69</v>
      </c>
      <c r="I24" s="3">
        <v>75</v>
      </c>
      <c r="J24" s="3">
        <v>63</v>
      </c>
      <c r="K24" s="6">
        <v>7.7</v>
      </c>
      <c r="L24" s="6">
        <v>7.8</v>
      </c>
      <c r="M24" s="6">
        <v>6.5</v>
      </c>
      <c r="N24" s="6">
        <v>7</v>
      </c>
      <c r="O24" s="6">
        <v>8.5</v>
      </c>
      <c r="P24" s="6">
        <v>7.4</v>
      </c>
      <c r="Q24" s="6">
        <f t="shared" si="3"/>
        <v>6.47</v>
      </c>
      <c r="R24" s="6" cm="1">
        <f t="array" ref="R24">_xlfn.IFS(E24="Win",10,E24="2",9.2,LEFT(E24,2)="T2",9.2,LEFT(E24,2)="T3",8.8,LEFT(E24,2)="T4",8.3,LEFT(E24,2)="T7",7.8,LEFT(E24,2)="T9",7.4,LEFT(E24,3)="T10",7.2,LEFT(E24,3)="T12",6.9,LEFT(E24,3)="T14",6.6,LEFT(E24,3)="T18",6.2,LEFT(E24,3)="T21",5.8,LEFT(E24,3)="T26",5.4,LEFT(E24,3)="T30",5,LEFT(E24,3)="T33",4.6,E24="46",3.4,E24="55",2.8,E24="CUT",1,E24="Unknown",3,TRUE,5)</f>
        <v>7.2</v>
      </c>
      <c r="S24" s="3" t="s">
        <v>129</v>
      </c>
      <c r="T24" s="3" t="s">
        <v>130</v>
      </c>
      <c r="U24" s="3" t="s">
        <v>131</v>
      </c>
      <c r="V24" s="3" t="s">
        <v>132</v>
      </c>
      <c r="W24" s="3" t="s">
        <v>56</v>
      </c>
    </row>
    <row r="25" spans="1:27" ht="24" customHeight="1">
      <c r="A25" s="3" t="s">
        <v>104</v>
      </c>
      <c r="B25" s="3" t="s">
        <v>80</v>
      </c>
      <c r="C25" s="3" t="s">
        <v>133</v>
      </c>
      <c r="D25" s="3" t="s">
        <v>90</v>
      </c>
      <c r="E25" s="3" t="s">
        <v>128</v>
      </c>
      <c r="F25" s="13">
        <v>-3</v>
      </c>
      <c r="G25" s="3">
        <v>72</v>
      </c>
      <c r="H25" s="3">
        <v>65</v>
      </c>
      <c r="I25" s="3">
        <v>71</v>
      </c>
      <c r="J25" s="3">
        <v>69</v>
      </c>
      <c r="K25" s="6">
        <v>7.5</v>
      </c>
      <c r="L25" s="6">
        <v>8</v>
      </c>
      <c r="M25" s="6">
        <v>5.6</v>
      </c>
      <c r="N25" s="6">
        <v>7.1</v>
      </c>
      <c r="O25" s="6">
        <v>8.4</v>
      </c>
      <c r="P25" s="6">
        <v>7</v>
      </c>
      <c r="Q25" s="6">
        <f t="shared" si="3"/>
        <v>6.34</v>
      </c>
      <c r="R25" s="6" cm="1">
        <f t="array" ref="R25">_xlfn.IFS(E25="Win",10,E25="2",9.2,LEFT(E25,2)="T2",9.2,LEFT(E25,2)="T3",8.8,LEFT(E25,2)="T4",8.3,LEFT(E25,2)="T7",7.8,LEFT(E25,2)="T9",7.4,LEFT(E25,3)="T10",7.2,LEFT(E25,3)="T12",6.9,LEFT(E25,3)="T14",6.6,LEFT(E25,3)="T18",6.2,LEFT(E25,3)="T21",5.8,LEFT(E25,3)="T26",5.4,LEFT(E25,3)="T30",5,LEFT(E25,3)="T33",4.6,E25="46",3.4,E25="55",2.8,E25="CUT",1,E25="Unknown",3,TRUE,5)</f>
        <v>7.2</v>
      </c>
      <c r="S25" s="3" t="s">
        <v>129</v>
      </c>
      <c r="T25" s="3" t="s">
        <v>134</v>
      </c>
      <c r="U25" s="3" t="s">
        <v>135</v>
      </c>
      <c r="V25" s="3" t="s">
        <v>136</v>
      </c>
      <c r="W25" s="3" t="s">
        <v>96</v>
      </c>
    </row>
    <row r="26" spans="1:27" ht="24" customHeight="1">
      <c r="A26" s="3" t="s">
        <v>104</v>
      </c>
      <c r="B26" s="3" t="s">
        <v>80</v>
      </c>
      <c r="C26" s="3" t="s">
        <v>137</v>
      </c>
      <c r="D26" s="3" t="s">
        <v>138</v>
      </c>
      <c r="E26" s="3" t="s">
        <v>128</v>
      </c>
      <c r="F26" s="13">
        <v>-3</v>
      </c>
      <c r="G26" s="3">
        <v>70</v>
      </c>
      <c r="H26" s="3">
        <v>73</v>
      </c>
      <c r="I26" s="3">
        <v>65</v>
      </c>
      <c r="J26" s="3">
        <v>69</v>
      </c>
      <c r="K26" s="6">
        <v>8.4</v>
      </c>
      <c r="L26" s="6">
        <v>7.7</v>
      </c>
      <c r="M26" s="6">
        <v>9.1</v>
      </c>
      <c r="N26" s="6">
        <v>8</v>
      </c>
      <c r="O26" s="6">
        <v>7</v>
      </c>
      <c r="P26" s="6">
        <v>5.8</v>
      </c>
      <c r="Q26" s="6">
        <f t="shared" si="3"/>
        <v>7.24</v>
      </c>
      <c r="R26" s="6" cm="1">
        <f t="array" ref="R26">_xlfn.IFS(E26="Win",10,E26="2",9.2,LEFT(E26,2)="T2",9.2,LEFT(E26,2)="T3",8.8,LEFT(E26,2)="T4",8.3,LEFT(E26,2)="T7",7.8,LEFT(E26,2)="T9",7.4,LEFT(E26,3)="T10",7.2,LEFT(E26,3)="T12",6.9,LEFT(E26,3)="T14",6.6,LEFT(E26,3)="T18",6.2,LEFT(E26,3)="T21",5.8,LEFT(E26,3)="T26",5.4,LEFT(E26,3)="T30",5,LEFT(E26,3)="T33",4.6,E26="46",3.4,E26="55",2.8,E26="CUT",1,E26="Unknown",3,TRUE,5)</f>
        <v>7.2</v>
      </c>
      <c r="S26" s="3" t="s">
        <v>129</v>
      </c>
      <c r="T26" s="3" t="s">
        <v>139</v>
      </c>
      <c r="U26" s="3" t="s">
        <v>140</v>
      </c>
      <c r="V26" s="3" t="s">
        <v>141</v>
      </c>
      <c r="W26" s="3" t="s">
        <v>96</v>
      </c>
    </row>
    <row r="27" spans="1:27" ht="24" customHeight="1">
      <c r="A27" s="3" t="s">
        <v>104</v>
      </c>
      <c r="B27" s="3" t="s">
        <v>80</v>
      </c>
      <c r="C27" s="3" t="s">
        <v>142</v>
      </c>
      <c r="D27" s="3" t="s">
        <v>138</v>
      </c>
      <c r="E27" s="3" t="s">
        <v>128</v>
      </c>
      <c r="F27" s="13">
        <v>-3</v>
      </c>
      <c r="G27" s="3">
        <v>68</v>
      </c>
      <c r="H27" s="3">
        <v>72</v>
      </c>
      <c r="I27" s="3">
        <v>67</v>
      </c>
      <c r="J27" s="3">
        <v>70</v>
      </c>
      <c r="K27" s="6">
        <v>8</v>
      </c>
      <c r="L27" s="6">
        <v>7.4</v>
      </c>
      <c r="M27" s="6">
        <v>8.8000000000000007</v>
      </c>
      <c r="N27" s="6">
        <v>7.8</v>
      </c>
      <c r="O27" s="6">
        <v>7.2</v>
      </c>
      <c r="P27" s="6">
        <v>6.2</v>
      </c>
      <c r="Q27" s="6">
        <f t="shared" si="3"/>
        <v>6.99</v>
      </c>
      <c r="R27" s="6" cm="1">
        <f t="array" ref="R27">_xlfn.IFS(E27="Win",10,E27="2",9.2,LEFT(E27,2)="T2",9.2,LEFT(E27,2)="T3",8.8,LEFT(E27,2)="T4",8.3,LEFT(E27,2)="T7",7.8,LEFT(E27,2)="T9",7.4,LEFT(E27,3)="T10",7.2,LEFT(E27,3)="T12",6.9,LEFT(E27,3)="T14",6.6,LEFT(E27,3)="T18",6.2,LEFT(E27,3)="T21",5.8,LEFT(E27,3)="T26",5.4,LEFT(E27,3)="T30",5,LEFT(E27,3)="T33",4.6,E27="46",3.4,E27="55",2.8,E27="CUT",1,E27="Unknown",3,TRUE,5)</f>
        <v>7.2</v>
      </c>
      <c r="S27" s="3" t="s">
        <v>129</v>
      </c>
      <c r="T27" s="3" t="s">
        <v>143</v>
      </c>
      <c r="U27" s="3" t="s">
        <v>144</v>
      </c>
      <c r="V27" s="3" t="s">
        <v>145</v>
      </c>
      <c r="W27" s="3" t="s">
        <v>56</v>
      </c>
    </row>
    <row r="28" spans="1:27" ht="24" customHeight="1">
      <c r="A28" s="3" t="s">
        <v>104</v>
      </c>
      <c r="B28" s="3" t="s">
        <v>72</v>
      </c>
      <c r="C28" s="3" t="s">
        <v>146</v>
      </c>
      <c r="D28" s="3" t="s">
        <v>59</v>
      </c>
      <c r="E28" s="3" t="s">
        <v>51</v>
      </c>
      <c r="F28" s="13">
        <v>-2</v>
      </c>
      <c r="G28" s="3">
        <v>70</v>
      </c>
      <c r="H28" s="3">
        <v>72</v>
      </c>
      <c r="I28" s="3">
        <v>71</v>
      </c>
      <c r="J28" s="3">
        <v>65</v>
      </c>
      <c r="K28" s="6">
        <v>8</v>
      </c>
      <c r="L28" s="6">
        <v>8.1</v>
      </c>
      <c r="M28" s="6">
        <v>8.4</v>
      </c>
      <c r="N28" s="6">
        <v>8</v>
      </c>
      <c r="O28" s="6">
        <v>6.8</v>
      </c>
      <c r="P28" s="6">
        <v>5.6</v>
      </c>
      <c r="Q28" s="6">
        <f t="shared" si="3"/>
        <v>7.09</v>
      </c>
      <c r="R28" s="6" cm="1">
        <f t="array" ref="R28">_xlfn.IFS(E28="Win",10,E28="2",9.2,LEFT(E28,2)="T2",9.2,LEFT(E28,2)="T3",8.8,LEFT(E28,2)="T4",8.3,LEFT(E28,2)="T7",7.8,LEFT(E28,2)="T9",7.4,LEFT(E28,3)="T10",7.2,LEFT(E28,3)="T12",6.9,LEFT(E28,3)="T14",6.6,LEFT(E28,3)="T18",6.2,LEFT(E28,3)="T21",5.8,LEFT(E28,3)="T26",5.4,LEFT(E28,3)="T30",5,LEFT(E28,3)="T33",4.6,E28="46",3.4,E28="55",2.8,E28="CUT",1,E28="Unknown",3,TRUE,5)</f>
        <v>6.6</v>
      </c>
      <c r="S28" s="3" t="s">
        <v>113</v>
      </c>
      <c r="T28" s="3" t="s">
        <v>147</v>
      </c>
      <c r="U28" s="3" t="s">
        <v>148</v>
      </c>
      <c r="V28" s="3" t="s">
        <v>149</v>
      </c>
      <c r="W28" s="3" t="s">
        <v>56</v>
      </c>
    </row>
    <row r="29" spans="1:27" ht="24" customHeight="1">
      <c r="A29" s="3" t="s">
        <v>104</v>
      </c>
      <c r="B29" s="3" t="s">
        <v>72</v>
      </c>
      <c r="C29" s="3" t="s">
        <v>150</v>
      </c>
      <c r="D29" s="3" t="s">
        <v>59</v>
      </c>
      <c r="E29" s="3" t="s">
        <v>51</v>
      </c>
      <c r="F29" s="13">
        <v>-2</v>
      </c>
      <c r="G29" s="3">
        <v>71</v>
      </c>
      <c r="H29" s="3">
        <v>70</v>
      </c>
      <c r="I29" s="3">
        <v>67</v>
      </c>
      <c r="J29" s="3">
        <v>70</v>
      </c>
      <c r="K29" s="6">
        <v>7.6</v>
      </c>
      <c r="L29" s="6">
        <v>8.1999999999999993</v>
      </c>
      <c r="M29" s="6">
        <v>5.8</v>
      </c>
      <c r="N29" s="6">
        <v>7.4</v>
      </c>
      <c r="O29" s="6">
        <v>7.4</v>
      </c>
      <c r="P29" s="6">
        <v>6.1</v>
      </c>
      <c r="Q29" s="6">
        <f t="shared" si="3"/>
        <v>6.46</v>
      </c>
      <c r="R29" s="6" cm="1">
        <f t="array" ref="R29">_xlfn.IFS(E29="Win",10,E29="2",9.2,LEFT(E29,2)="T2",9.2,LEFT(E29,2)="T3",8.8,LEFT(E29,2)="T4",8.3,LEFT(E29,2)="T7",7.8,LEFT(E29,2)="T9",7.4,LEFT(E29,3)="T10",7.2,LEFT(E29,3)="T12",6.9,LEFT(E29,3)="T14",6.6,LEFT(E29,3)="T18",6.2,LEFT(E29,3)="T21",5.8,LEFT(E29,3)="T26",5.4,LEFT(E29,3)="T30",5,LEFT(E29,3)="T33",4.6,E29="46",3.4,E29="55",2.8,E29="CUT",1,E29="Unknown",3,TRUE,5)</f>
        <v>6.6</v>
      </c>
      <c r="S29" s="3" t="s">
        <v>151</v>
      </c>
      <c r="T29" s="3" t="s">
        <v>152</v>
      </c>
      <c r="U29" s="3" t="s">
        <v>153</v>
      </c>
      <c r="V29" s="3" t="s">
        <v>154</v>
      </c>
      <c r="W29" s="3" t="s">
        <v>56</v>
      </c>
    </row>
    <row r="30" spans="1:27" ht="24" customHeight="1">
      <c r="A30" s="3" t="s">
        <v>104</v>
      </c>
      <c r="B30" s="3" t="s">
        <v>72</v>
      </c>
      <c r="C30" s="3" t="s">
        <v>155</v>
      </c>
      <c r="D30" s="3" t="s">
        <v>90</v>
      </c>
      <c r="E30" s="3" t="s">
        <v>51</v>
      </c>
      <c r="F30" s="13">
        <v>-2</v>
      </c>
      <c r="G30" s="3">
        <v>68</v>
      </c>
      <c r="H30" s="3">
        <v>69</v>
      </c>
      <c r="I30" s="3">
        <v>71</v>
      </c>
      <c r="J30" s="3">
        <v>70</v>
      </c>
      <c r="K30" s="6">
        <v>7.4</v>
      </c>
      <c r="L30" s="6">
        <v>8.3000000000000007</v>
      </c>
      <c r="M30" s="6">
        <v>5.4</v>
      </c>
      <c r="N30" s="6">
        <v>7</v>
      </c>
      <c r="O30" s="6">
        <v>8</v>
      </c>
      <c r="P30" s="6">
        <v>6.8</v>
      </c>
      <c r="Q30" s="6">
        <f t="shared" si="3"/>
        <v>6.29</v>
      </c>
      <c r="R30" s="6" cm="1">
        <f t="array" ref="R30">_xlfn.IFS(E30="Win",10,E30="2",9.2,LEFT(E30,2)="T2",9.2,LEFT(E30,2)="T3",8.8,LEFT(E30,2)="T4",8.3,LEFT(E30,2)="T7",7.8,LEFT(E30,2)="T9",7.4,LEFT(E30,3)="T10",7.2,LEFT(E30,3)="T12",6.9,LEFT(E30,3)="T14",6.6,LEFT(E30,3)="T18",6.2,LEFT(E30,3)="T21",5.8,LEFT(E30,3)="T26",5.4,LEFT(E30,3)="T30",5,LEFT(E30,3)="T33",4.6,E30="46",3.4,E30="55",2.8,E30="CUT",1,E30="Unknown",3,TRUE,5)</f>
        <v>6.6</v>
      </c>
      <c r="S30" s="3" t="s">
        <v>113</v>
      </c>
      <c r="T30" s="3" t="s">
        <v>156</v>
      </c>
      <c r="U30" s="3" t="s">
        <v>157</v>
      </c>
      <c r="V30" s="3" t="s">
        <v>158</v>
      </c>
      <c r="W30" s="3" t="s">
        <v>56</v>
      </c>
    </row>
    <row r="31" spans="1:27" ht="24" customHeight="1">
      <c r="A31" s="3" t="s">
        <v>104</v>
      </c>
      <c r="B31" s="3" t="s">
        <v>72</v>
      </c>
      <c r="C31" s="3" t="s">
        <v>159</v>
      </c>
      <c r="D31" s="3" t="s">
        <v>40</v>
      </c>
      <c r="E31" s="3" t="s">
        <v>68</v>
      </c>
      <c r="F31" s="13">
        <v>-1</v>
      </c>
      <c r="G31" s="3">
        <v>71</v>
      </c>
      <c r="H31" s="3">
        <v>67</v>
      </c>
      <c r="I31" s="3">
        <v>71</v>
      </c>
      <c r="J31" s="3">
        <v>70</v>
      </c>
      <c r="K31" s="6">
        <v>7.5</v>
      </c>
      <c r="L31" s="6">
        <v>7.8</v>
      </c>
      <c r="M31" s="6">
        <v>5.5</v>
      </c>
      <c r="N31" s="6">
        <v>7.1</v>
      </c>
      <c r="O31" s="6">
        <v>8.1999999999999993</v>
      </c>
      <c r="P31" s="6">
        <v>6.9</v>
      </c>
      <c r="Q31" s="6">
        <f t="shared" si="3"/>
        <v>6.27</v>
      </c>
      <c r="R31" s="6" cm="1">
        <f t="array" ref="R31">_xlfn.IFS(E31="Win",10,E31="2",9.2,LEFT(E31,2)="T2",9.2,LEFT(E31,2)="T3",8.8,LEFT(E31,2)="T4",8.3,LEFT(E31,2)="T7",7.8,LEFT(E31,2)="T9",7.4,LEFT(E31,3)="T10",7.2,LEFT(E31,3)="T12",6.9,LEFT(E31,3)="T14",6.6,LEFT(E31,3)="T18",6.2,LEFT(E31,3)="T21",5.8,LEFT(E31,3)="T26",5.4,LEFT(E31,3)="T30",5,LEFT(E31,3)="T33",4.6,E31="46",3.4,E31="55",2.8,E31="CUT",1,E31="Unknown",3,TRUE,5)</f>
        <v>6.2</v>
      </c>
      <c r="S31" s="3" t="s">
        <v>151</v>
      </c>
      <c r="T31" s="3" t="s">
        <v>160</v>
      </c>
      <c r="U31" s="3" t="s">
        <v>161</v>
      </c>
      <c r="V31" s="3" t="s">
        <v>162</v>
      </c>
      <c r="W31" s="3" t="s">
        <v>56</v>
      </c>
    </row>
    <row r="32" spans="1:27" ht="24" customHeight="1">
      <c r="A32" s="3" t="s">
        <v>104</v>
      </c>
      <c r="B32" s="3" t="s">
        <v>72</v>
      </c>
      <c r="C32" s="3" t="s">
        <v>163</v>
      </c>
      <c r="D32" s="3" t="s">
        <v>138</v>
      </c>
      <c r="E32" s="3" t="s">
        <v>68</v>
      </c>
      <c r="F32" s="13">
        <v>-1</v>
      </c>
      <c r="G32" s="3">
        <v>69</v>
      </c>
      <c r="H32" s="3">
        <v>72</v>
      </c>
      <c r="I32" s="3">
        <v>70</v>
      </c>
      <c r="J32" s="3">
        <v>68</v>
      </c>
      <c r="K32" s="6">
        <v>7.7</v>
      </c>
      <c r="L32" s="6">
        <v>7.1</v>
      </c>
      <c r="M32" s="6">
        <v>9.3000000000000007</v>
      </c>
      <c r="N32" s="6">
        <v>7.2</v>
      </c>
      <c r="O32" s="6">
        <v>7</v>
      </c>
      <c r="P32" s="6">
        <v>6.8</v>
      </c>
      <c r="Q32" s="6">
        <f t="shared" si="3"/>
        <v>6.76</v>
      </c>
      <c r="R32" s="6" cm="1">
        <f t="array" ref="R32">_xlfn.IFS(E32="Win",10,E32="2",9.2,LEFT(E32,2)="T2",9.2,LEFT(E32,2)="T3",8.8,LEFT(E32,2)="T4",8.3,LEFT(E32,2)="T7",7.8,LEFT(E32,2)="T9",7.4,LEFT(E32,3)="T10",7.2,LEFT(E32,3)="T12",6.9,LEFT(E32,3)="T14",6.6,LEFT(E32,3)="T18",6.2,LEFT(E32,3)="T21",5.8,LEFT(E32,3)="T26",5.4,LEFT(E32,3)="T30",5,LEFT(E32,3)="T33",4.6,E32="46",3.4,E32="55",2.8,E32="CUT",1,E32="Unknown",3,TRUE,5)</f>
        <v>6.2</v>
      </c>
      <c r="S32" s="3" t="s">
        <v>151</v>
      </c>
      <c r="T32" s="3" t="s">
        <v>164</v>
      </c>
      <c r="U32" s="3" t="s">
        <v>165</v>
      </c>
      <c r="V32" s="3" t="s">
        <v>166</v>
      </c>
      <c r="W32" s="3" t="s">
        <v>56</v>
      </c>
    </row>
    <row r="33" spans="1:23" ht="24" customHeight="1">
      <c r="A33" s="3" t="s">
        <v>104</v>
      </c>
      <c r="B33" s="3" t="s">
        <v>72</v>
      </c>
      <c r="C33" s="3" t="s">
        <v>167</v>
      </c>
      <c r="D33" s="3" t="s">
        <v>40</v>
      </c>
      <c r="E33" s="3" t="s">
        <v>68</v>
      </c>
      <c r="F33" s="13">
        <v>-1</v>
      </c>
      <c r="G33" s="3">
        <v>67</v>
      </c>
      <c r="H33" s="3">
        <v>70</v>
      </c>
      <c r="I33" s="3">
        <v>71</v>
      </c>
      <c r="J33" s="3">
        <v>71</v>
      </c>
      <c r="K33" s="6">
        <v>7.4</v>
      </c>
      <c r="L33" s="6">
        <v>8</v>
      </c>
      <c r="M33" s="6">
        <v>6.7</v>
      </c>
      <c r="N33" s="6">
        <v>7.2</v>
      </c>
      <c r="O33" s="6">
        <v>8</v>
      </c>
      <c r="P33" s="6">
        <v>7.3</v>
      </c>
      <c r="Q33" s="6">
        <f t="shared" si="3"/>
        <v>6.45</v>
      </c>
      <c r="R33" s="6" cm="1">
        <f t="array" ref="R33">_xlfn.IFS(E33="Win",10,E33="2",9.2,LEFT(E33,2)="T2",9.2,LEFT(E33,2)="T3",8.8,LEFT(E33,2)="T4",8.3,LEFT(E33,2)="T7",7.8,LEFT(E33,2)="T9",7.4,LEFT(E33,3)="T10",7.2,LEFT(E33,3)="T12",6.9,LEFT(E33,3)="T14",6.6,LEFT(E33,3)="T18",6.2,LEFT(E33,3)="T21",5.8,LEFT(E33,3)="T26",5.4,LEFT(E33,3)="T30",5,LEFT(E33,3)="T33",4.6,E33="46",3.4,E33="55",2.8,E33="CUT",1,E33="Unknown",3,TRUE,5)</f>
        <v>6.2</v>
      </c>
      <c r="S33" s="3" t="s">
        <v>151</v>
      </c>
      <c r="T33" s="3" t="s">
        <v>168</v>
      </c>
      <c r="U33" s="3" t="s">
        <v>169</v>
      </c>
      <c r="V33" s="3" t="s">
        <v>170</v>
      </c>
      <c r="W33" s="3" t="s">
        <v>56</v>
      </c>
    </row>
    <row r="34" spans="1:23" ht="24" customHeight="1">
      <c r="A34" s="3" t="s">
        <v>104</v>
      </c>
      <c r="B34" s="3" t="s">
        <v>72</v>
      </c>
      <c r="C34" s="3" t="s">
        <v>171</v>
      </c>
      <c r="D34" s="3" t="s">
        <v>59</v>
      </c>
      <c r="E34" s="3" t="s">
        <v>172</v>
      </c>
      <c r="F34" s="16" t="s">
        <v>173</v>
      </c>
      <c r="G34" s="3">
        <v>70</v>
      </c>
      <c r="H34" s="3">
        <v>72</v>
      </c>
      <c r="I34" s="3">
        <v>67</v>
      </c>
      <c r="J34" s="3">
        <v>71</v>
      </c>
      <c r="K34" s="6">
        <v>7.3</v>
      </c>
      <c r="L34" s="6">
        <v>8.1</v>
      </c>
      <c r="M34" s="6">
        <v>7.3</v>
      </c>
      <c r="N34" s="6">
        <v>7.4</v>
      </c>
      <c r="O34" s="6">
        <v>6.5</v>
      </c>
      <c r="P34" s="6">
        <v>6.5</v>
      </c>
      <c r="Q34" s="6">
        <f t="shared" si="3"/>
        <v>6.49</v>
      </c>
      <c r="R34" s="6" cm="1">
        <f t="array" ref="R34">_xlfn.IFS(E34="Win",10,E34="2",9.2,LEFT(E34,2)="T2",9.2,LEFT(E34,2)="T3",8.8,LEFT(E34,2)="T4",8.3,LEFT(E34,2)="T7",7.8,LEFT(E34,2)="T9",7.4,LEFT(E34,3)="T10",7.2,LEFT(E34,3)="T12",6.9,LEFT(E34,3)="T14",6.6,LEFT(E34,3)="T18",6.2,LEFT(E34,3)="T21",5.8,LEFT(E34,3)="T26",5.4,LEFT(E34,3)="T30",5,LEFT(E34,3)="T33",4.6,E34="46",3.4,E34="55",2.8,E34="CUT",1,E34="Unknown",3,TRUE,5)</f>
        <v>9.1999999999999993</v>
      </c>
      <c r="S34" s="3" t="s">
        <v>174</v>
      </c>
      <c r="T34" s="3" t="s">
        <v>175</v>
      </c>
      <c r="U34" s="3" t="s">
        <v>176</v>
      </c>
      <c r="V34" s="3" t="s">
        <v>177</v>
      </c>
      <c r="W34" s="3" t="s">
        <v>56</v>
      </c>
    </row>
    <row r="35" spans="1:23" ht="24" customHeight="1">
      <c r="A35" s="3" t="s">
        <v>104</v>
      </c>
      <c r="B35" s="3" t="s">
        <v>72</v>
      </c>
      <c r="C35" s="3" t="s">
        <v>178</v>
      </c>
      <c r="D35" s="3" t="s">
        <v>36</v>
      </c>
      <c r="E35" s="3" t="s">
        <v>172</v>
      </c>
      <c r="F35" s="16" t="s">
        <v>173</v>
      </c>
      <c r="G35" s="3">
        <v>70</v>
      </c>
      <c r="H35" s="3">
        <v>67</v>
      </c>
      <c r="I35" s="3">
        <v>71</v>
      </c>
      <c r="J35" s="3">
        <v>72</v>
      </c>
      <c r="K35" s="6">
        <v>8.1</v>
      </c>
      <c r="L35" s="6">
        <v>7.5</v>
      </c>
      <c r="M35" s="6">
        <v>9</v>
      </c>
      <c r="N35" s="6">
        <v>8</v>
      </c>
      <c r="O35" s="6">
        <v>6.2</v>
      </c>
      <c r="P35" s="6">
        <v>5.8</v>
      </c>
      <c r="Q35" s="6">
        <f t="shared" si="3"/>
        <v>7.02</v>
      </c>
      <c r="R35" s="6" cm="1">
        <f t="array" ref="R35">_xlfn.IFS(E35="Win",10,E35="2",9.2,LEFT(E35,2)="T2",9.2,LEFT(E35,2)="T3",8.8,LEFT(E35,2)="T4",8.3,LEFT(E35,2)="T7",7.8,LEFT(E35,2)="T9",7.4,LEFT(E35,3)="T10",7.2,LEFT(E35,3)="T12",6.9,LEFT(E35,3)="T14",6.6,LEFT(E35,3)="T18",6.2,LEFT(E35,3)="T21",5.8,LEFT(E35,3)="T26",5.4,LEFT(E35,3)="T30",5,LEFT(E35,3)="T33",4.6,E35="46",3.4,E35="55",2.8,E35="CUT",1,E35="Unknown",3,TRUE,5)</f>
        <v>9.1999999999999993</v>
      </c>
      <c r="S35" s="3" t="s">
        <v>174</v>
      </c>
      <c r="T35" s="3" t="s">
        <v>179</v>
      </c>
      <c r="U35" s="3" t="s">
        <v>180</v>
      </c>
      <c r="V35" s="3" t="s">
        <v>181</v>
      </c>
      <c r="W35" s="3" t="s">
        <v>56</v>
      </c>
    </row>
    <row r="38" spans="1:23" ht="21.4" customHeight="1">
      <c r="A38" s="1" t="s">
        <v>182</v>
      </c>
      <c r="B38" s="1" t="s">
        <v>183</v>
      </c>
      <c r="C38" s="1" t="s">
        <v>59</v>
      </c>
      <c r="D38" s="1"/>
      <c r="E38" s="1" t="s">
        <v>184</v>
      </c>
      <c r="F38" s="1" t="s">
        <v>185</v>
      </c>
      <c r="G38" s="1"/>
      <c r="H38" s="1"/>
    </row>
    <row r="39" spans="1:23" ht="21.4" customHeight="1">
      <c r="A39" s="3" t="s">
        <v>186</v>
      </c>
      <c r="B39" s="3">
        <f>COUNTIF(A13:A35,"Picked")</f>
        <v>6</v>
      </c>
      <c r="C39" s="3"/>
      <c r="D39" s="3"/>
      <c r="E39" s="3" t="s">
        <v>31</v>
      </c>
      <c r="F39" s="3" t="s">
        <v>187</v>
      </c>
      <c r="G39" s="3"/>
      <c r="H39" s="3"/>
    </row>
    <row r="40" spans="1:23" ht="21.4" customHeight="1">
      <c r="A40" s="3" t="s">
        <v>188</v>
      </c>
      <c r="B40" s="3">
        <f>ROUND(AVERAGEIF(A13:A35,"Picked",Q13:Q35),2)</f>
        <v>7</v>
      </c>
      <c r="C40" s="3"/>
      <c r="D40" s="3"/>
      <c r="E40" s="3" t="s">
        <v>32</v>
      </c>
      <c r="F40" s="3" t="s">
        <v>189</v>
      </c>
      <c r="G40" s="3"/>
      <c r="H40" s="3"/>
    </row>
    <row r="41" spans="1:23" ht="21.4" customHeight="1">
      <c r="A41" s="3" t="s">
        <v>190</v>
      </c>
      <c r="B41" s="3">
        <f>ROUND(AVERAGEIF(A13:A35,"Picked",R13:R35),2)</f>
        <v>5.82</v>
      </c>
      <c r="C41" s="3"/>
      <c r="D41" s="3"/>
      <c r="E41" s="3" t="s">
        <v>33</v>
      </c>
      <c r="F41" s="3" t="s">
        <v>191</v>
      </c>
      <c r="G41" s="3"/>
      <c r="H41" s="3"/>
    </row>
    <row r="42" spans="1:23" ht="21.4" customHeight="1">
      <c r="A42" s="3" t="s">
        <v>192</v>
      </c>
      <c r="B42" s="3">
        <f>COUNTIFS(A13:A35,"Picked",S13:S35,"A*")</f>
        <v>2</v>
      </c>
      <c r="C42" s="3"/>
      <c r="D42" s="3"/>
      <c r="E42" s="3" t="s">
        <v>42</v>
      </c>
      <c r="F42" s="3" t="s">
        <v>193</v>
      </c>
      <c r="G42" s="3"/>
      <c r="H42" s="3"/>
    </row>
    <row r="43" spans="1:23" ht="21.4" customHeight="1">
      <c r="A43" s="3" t="s">
        <v>194</v>
      </c>
      <c r="B43" s="3">
        <f>COUNTIFS(A13:A35,"Picked",E13:E35,"CUT")</f>
        <v>1</v>
      </c>
      <c r="C43" s="3"/>
      <c r="D43" s="3"/>
      <c r="E43" s="3"/>
      <c r="F43" s="3"/>
      <c r="G43" s="3"/>
      <c r="H43" s="3"/>
    </row>
  </sheetData>
  <mergeCells count="5">
    <mergeCell ref="A1:W1"/>
    <mergeCell ref="A2:W2"/>
    <mergeCell ref="A4:W4"/>
    <mergeCell ref="A10:W10"/>
    <mergeCell ref="Y4:AA4"/>
  </mergeCells>
  <conditionalFormatting sqref="A13:A35">
    <cfRule type="expression" dxfId="3" priority="2">
      <formula>A13="Picked"</formula>
    </cfRule>
  </conditionalFormatting>
  <conditionalFormatting sqref="E13:E35">
    <cfRule type="expression" dxfId="2" priority="3">
      <formula>E13="CUT"</formula>
    </cfRule>
  </conditionalFormatting>
  <conditionalFormatting sqref="K13:R35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S13:S35">
    <cfRule type="expression" dxfId="1" priority="4">
      <formula>LEFT(S13,1)="A"</formula>
    </cfRule>
    <cfRule type="expression" dxfId="0" priority="5">
      <formula>S13="F"</formula>
    </cfRule>
  </conditionalFormatting>
  <dataValidations count="4">
    <dataValidation type="list" sqref="A13:A35" xr:uid="{00000000-0002-0000-0000-000000000000}">
      <formula1>"Picked,Candidate,Fade,Missed Opportunity,Watchlist"</formula1>
    </dataValidation>
    <dataValidation type="list" sqref="B13:B35" xr:uid="{00000000-0002-0000-0000-000001000000}">
      <formula1>"Tier 1,Tier 2,Tier 3,Tier 4,Tier 5,Tier 6,Value Tier,Sleeper,Elite,Contender"</formula1>
    </dataValidation>
    <dataValidation type="list" sqref="D13:D35" xr:uid="{00000000-0002-0000-0000-000002000000}">
      <formula1>"Anchor,Chalk,Value,Sleeper,Leverage,Course Horse,Fade,Risk Play,Backup"</formula1>
    </dataValidation>
    <dataValidation type="list" sqref="S13:S35" xr:uid="{00000000-0002-0000-0000-000003000000}">
      <formula1>"A+,A,A-,B+,B,B-,C+,C,D,F"</formula1>
    </dataValidation>
  </dataValidations>
  <pageMargins left="0.7" right="0.7" top="0.75" bottom="0.75" header="0.3" footer="0.3"/>
  <pageSetup orientation="portrait" r:id="rId1"/>
  <ignoredErrors>
    <ignoredError sqref="D35" listDataValidatio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Flora</cp:lastModifiedBy>
  <dcterms:modified xsi:type="dcterms:W3CDTF">2026-06-03T02:10:44Z</dcterms:modified>
</cp:coreProperties>
</file>