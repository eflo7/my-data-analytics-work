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48d3ac1ac4b44e9/Desktop/Personal Work/Data-Analyst-Portfolio/major-pool-2026-golf-analysis/"/>
    </mc:Choice>
  </mc:AlternateContent>
  <xr:revisionPtr revIDLastSave="35" documentId="8_{7D7D6177-66DB-47E6-8F69-7E4904CC3BCA}" xr6:coauthVersionLast="47" xr6:coauthVersionMax="47" xr10:uidLastSave="{5510287C-CB83-49EB-A954-F86633A6222F}"/>
  <bookViews>
    <workbookView xWindow="-110" yWindow="-110" windowWidth="19420" windowHeight="11500" firstSheet="4" activeTab="4" xr2:uid="{00000000-000D-0000-FFFF-FFFF00000000}"/>
  </bookViews>
  <sheets>
    <sheet name="Master Data" sheetId="1" state="hidden" r:id="rId1"/>
    <sheet name="Player Card" sheetId="2" state="hidden" r:id="rId2"/>
    <sheet name="Model Summary" sheetId="3" state="hidden" r:id="rId3"/>
    <sheet name="Sources + Method" sheetId="4" state="hidden" r:id="rId4"/>
    <sheet name="Final Picks Tracker" sheetId="5" r:id="rId5"/>
    <sheet name="Score Rules"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5" l="1"/>
  <c r="E21" i="5" s="1"/>
  <c r="C21" i="5"/>
  <c r="J16" i="5"/>
  <c r="N15" i="5"/>
  <c r="M15" i="5"/>
  <c r="L15" i="5"/>
  <c r="K15" i="5"/>
  <c r="G15" i="5"/>
  <c r="N14" i="5"/>
  <c r="M14" i="5"/>
  <c r="L14" i="5"/>
  <c r="K14" i="5"/>
  <c r="G14" i="5"/>
  <c r="J14" i="5" s="1"/>
  <c r="N13" i="5"/>
  <c r="M13" i="5"/>
  <c r="L13" i="5"/>
  <c r="K13" i="5"/>
  <c r="G13" i="5"/>
  <c r="J13" i="5" s="1"/>
  <c r="N12" i="5"/>
  <c r="M12" i="5"/>
  <c r="L12" i="5"/>
  <c r="K12" i="5"/>
  <c r="G12" i="5"/>
  <c r="N11" i="5"/>
  <c r="M11" i="5"/>
  <c r="L11" i="5"/>
  <c r="K11" i="5"/>
  <c r="G11" i="5"/>
  <c r="N10" i="5"/>
  <c r="M10" i="5"/>
  <c r="L10" i="5"/>
  <c r="K10" i="5"/>
  <c r="G10" i="5"/>
  <c r="B37" i="2"/>
  <c r="B35" i="2"/>
  <c r="B31" i="2"/>
  <c r="B27" i="2"/>
  <c r="B23" i="2"/>
  <c r="B19" i="2"/>
  <c r="B16" i="2"/>
  <c r="B13" i="2"/>
  <c r="F11" i="2"/>
  <c r="D11" i="2"/>
  <c r="B11" i="2"/>
  <c r="F9" i="2"/>
  <c r="D9" i="2"/>
  <c r="B9" i="2"/>
  <c r="F7" i="2"/>
  <c r="D7" i="2"/>
  <c r="B7" i="2"/>
  <c r="F5" i="2"/>
  <c r="D5" i="2"/>
  <c r="B5" i="2"/>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10" i="5" l="1"/>
  <c r="J12" i="5"/>
  <c r="H11" i="5"/>
  <c r="I11" i="5" s="1"/>
  <c r="H13" i="5"/>
  <c r="I13" i="5" s="1"/>
  <c r="J11" i="5"/>
  <c r="J15" i="5"/>
  <c r="G16" i="5"/>
  <c r="H10" i="5"/>
  <c r="I10" i="5" s="1"/>
  <c r="H12" i="5"/>
  <c r="I12" i="5" s="1"/>
  <c r="H14" i="5"/>
  <c r="I14" i="5" s="1"/>
  <c r="H15" i="5"/>
  <c r="I15" i="5" s="1"/>
  <c r="H16" i="5" l="1"/>
  <c r="I16" i="5" s="1"/>
</calcChain>
</file>

<file path=xl/sharedStrings.xml><?xml version="1.0" encoding="utf-8"?>
<sst xmlns="http://schemas.openxmlformats.org/spreadsheetml/2006/main" count="1099" uniqueCount="676">
  <si>
    <t>Player</t>
  </si>
  <si>
    <t>Tour</t>
  </si>
  <si>
    <t>Custom Tier</t>
  </si>
  <si>
    <t>Odds / Market Note</t>
  </si>
  <si>
    <t>Current Form</t>
  </si>
  <si>
    <t>US Open Fit</t>
  </si>
  <si>
    <t>Shinnecock / Comp</t>
  </si>
  <si>
    <t>Cut Safety</t>
  </si>
  <si>
    <t>Upside</t>
  </si>
  <si>
    <t>Volatility Risk</t>
  </si>
  <si>
    <t>Overall Rating</t>
  </si>
  <si>
    <t>Win Grade</t>
  </si>
  <si>
    <t>Pool Action</t>
  </si>
  <si>
    <t>Projected Score Range</t>
  </si>
  <si>
    <t>Masters 2026</t>
  </si>
  <si>
    <t>PGA 2026</t>
  </si>
  <si>
    <t>Recent MC / Concern</t>
  </si>
  <si>
    <t>Shinnecock / US Open History</t>
  </si>
  <si>
    <t>Key Stats / Fit Signals</t>
  </si>
  <si>
    <t>Why He Can Win</t>
  </si>
  <si>
    <t>Red Flags</t>
  </si>
  <si>
    <t>Outside / LIV / Creator Notes</t>
  </si>
  <si>
    <t>Source URL 1</t>
  </si>
  <si>
    <t>Source URL 2</t>
  </si>
  <si>
    <t>Scottie Scheffler</t>
  </si>
  <si>
    <t>PGA</t>
  </si>
  <si>
    <t>Elite Favorite</t>
  </si>
  <si>
    <t>+500 market favorite</t>
  </si>
  <si>
    <t>A+</t>
  </si>
  <si>
    <t>Core pick / safest anchor</t>
  </si>
  <si>
    <t>-4 to +2</t>
  </si>
  <si>
    <t>2nd (-11), bogey-free weekend noted</t>
  </si>
  <si>
    <t>Made cut; contended but putting cooled</t>
  </si>
  <si>
    <t>No major MC concern; main risk is cold putter</t>
  </si>
  <si>
    <t>No 2018 Shinnecock start; elite U.S. Open profile overall</t>
  </si>
  <si>
    <t>PGA Tour SG tee-to-green leader; GIR leader; OWGR No. 1</t>
  </si>
  <si>
    <t>Best total skill profile in the field. If Shinnecock becomes a ball-striking exam, he is the cleanest all-around answer.</t>
  </si>
  <si>
    <t>Putting can turn a winning week into a top-10 only; odds may be too short for pool leverage.</t>
  </si>
  <si>
    <t>Stable PGA schedule, elite week-to-week floor.</t>
  </si>
  <si>
    <t>https://www.pgatour.com/stats/detail/02674</t>
  </si>
  <si>
    <t>https://www.pgatour.com/stats</t>
  </si>
  <si>
    <t>Rory McIlroy</t>
  </si>
  <si>
    <t>+850 to +950</t>
  </si>
  <si>
    <t>A</t>
  </si>
  <si>
    <t>Core pick if tier value is fair</t>
  </si>
  <si>
    <t>-4 to +3</t>
  </si>
  <si>
    <t>Won / defended Masters (-12)</t>
  </si>
  <si>
    <t>T7 (-4)</t>
  </si>
  <si>
    <t>No missed cut in first two majors; some hard-course volatility from 2025 U.S. Open</t>
  </si>
  <si>
    <t>Missed cut at 2018 Shinnecock, but has proven U.S. Open ceiling</t>
  </si>
  <si>
    <t>Major-winning form, power, improved patience, elite scoring ceiling</t>
  </si>
  <si>
    <t>He has already won the biggest 2026 pressure test and backed it up with a PGA top 10.</t>
  </si>
  <si>
    <t>Can get emotionally sideways on brutal U.S. Open setups; Shinnecock 2018 history is not great.</t>
  </si>
  <si>
    <t>No LIV concern; high public ownership risk.</t>
  </si>
  <si>
    <t>https://www.theguardian.com/sport/live/2026/apr/12/golf-the-masters-2026-final-round-live</t>
  </si>
  <si>
    <t>https://www.pgachampionship.com/news-media/articles/aaron-rai-wins-the-2026-pga-championship-at-aronimink</t>
  </si>
  <si>
    <t>Jon Rahm</t>
  </si>
  <si>
    <t>LIV</t>
  </si>
  <si>
    <t>Elite Threat</t>
  </si>
  <si>
    <t>+1200</t>
  </si>
  <si>
    <t>A-</t>
  </si>
  <si>
    <t>High-upside anchor</t>
  </si>
  <si>
    <t>-3 to +4</t>
  </si>
  <si>
    <t>Made cut, poor start then stabilized</t>
  </si>
  <si>
    <t>T2 (-6)</t>
  </si>
  <si>
    <t>Masters was not a win threat; LIV schedule creates fewer PGA data points</t>
  </si>
  <si>
    <t>2018 Shinnecock: MC, but later became U.S. Open champion in 2021</t>
  </si>
  <si>
    <t>World SG rating No. 2; PGA runner-up confirms major form</t>
  </si>
  <si>
    <t>Rahm’s PGA runner-up is a strong sign that the major game is still fully alive.</t>
  </si>
  <si>
    <t>LIV week-to-week data is harder to compare; can lose accuracy under frustration.</t>
  </si>
  <si>
    <t>Best LIV option if priced below Scheffler/Rory.</t>
  </si>
  <si>
    <t>https://www.owgr.com/strokes-gained-world-rating</t>
  </si>
  <si>
    <t>Cameron Young</t>
  </si>
  <si>
    <t>Elite Upside</t>
  </si>
  <si>
    <t>+1800</t>
  </si>
  <si>
    <t>Best aggressive pool play</t>
  </si>
  <si>
    <t>-5 to +4</t>
  </si>
  <si>
    <t>T3 (-10)</t>
  </si>
  <si>
    <t>Made cut, not top 10</t>
  </si>
  <si>
    <t>No recent major MC; pressure of home-state U.S. Open is the question</t>
  </si>
  <si>
    <t>No 2018 Shinnecock start; New York/home-state angle; strong 2025 U.S. Open noted in news</t>
  </si>
  <si>
    <t>Two 2026 wins including THE PLAYERS; OWGR No. 3; top SG tee-to-green</t>
  </si>
  <si>
    <t>He may be the best blend of recent form, ball-striking, and non-Scheffler odds value.</t>
  </si>
  <si>
    <t>Still chasing first major; home crowd can become extra weight.</t>
  </si>
  <si>
    <t>Could be highly owned, but still strong pool value.</t>
  </si>
  <si>
    <t>https://www.golfchannel.com/pga-tour/news/ranking-the-entire-pga-championship-field-nos-1-156</t>
  </si>
  <si>
    <t>https://nypost.com/2026/05/13/betting/cameron-youngs-rise-reflected-in-stunning-pga-championship-odds-swing/</t>
  </si>
  <si>
    <t>Xander Schauffele</t>
  </si>
  <si>
    <t>Elite Consistency</t>
  </si>
  <si>
    <t>Core pick / cut safety monster</t>
  </si>
  <si>
    <t>Top-five/top-10 range</t>
  </si>
  <si>
    <t>No current MC concern</t>
  </si>
  <si>
    <t>2018 Shinnecock T6; nine straight U.S. Open top-15s cited by Golf Digest</t>
  </si>
  <si>
    <t>Reliable major profile; strong tough-course history</t>
  </si>
  <si>
    <t>Few players have a better U.S. Open made-cut and top-15 profile.</t>
  </si>
  <si>
    <t>May not separate enough to win if putter is average.</t>
  </si>
  <si>
    <t>Excellent pool pick when avoiding disaster matters.</t>
  </si>
  <si>
    <t>https://www.golfdigest.com/story/us-open-picks-2026-our-13-best-bets-to-win-at-shinnecock-hills</t>
  </si>
  <si>
    <t>Matthew Fitzpatrick</t>
  </si>
  <si>
    <t>Elite Value</t>
  </si>
  <si>
    <t>+2000</t>
  </si>
  <si>
    <t>Best precision-value pick</t>
  </si>
  <si>
    <t>-4 to +4</t>
  </si>
  <si>
    <t>Made cut</t>
  </si>
  <si>
    <t>Made cut, outside top 10</t>
  </si>
  <si>
    <t>No major MC issue; confidence check after losing to Alex Fitzpatrick noted</t>
  </si>
  <si>
    <t>2018 Shinnecock T12; 2022 U.S. Open winner</t>
  </si>
  <si>
    <t>PGA Tour No. 2 SG tee-to-green; won three of four starts between Masters and PGA per Golf Digest</t>
  </si>
  <si>
    <t>Shinnecock rewards controlled driving, patience, and short-game creativity, all Fitzpatrick strengths.</t>
  </si>
  <si>
    <t>Ceiling can depend on whether approach play stays hot enough to beat elite power.</t>
  </si>
  <si>
    <t>Very strong if he lands outside top tier in your pool.</t>
  </si>
  <si>
    <t>Collin Morikawa</t>
  </si>
  <si>
    <t>High-End Contender</t>
  </si>
  <si>
    <t>+2200</t>
  </si>
  <si>
    <t>Great fit if price drops</t>
  </si>
  <si>
    <t>-3 to +5</t>
  </si>
  <si>
    <t>No major MC signal, but not winning lately</t>
  </si>
  <si>
    <t>No 2018 Shinnecock start</t>
  </si>
  <si>
    <t>PGA Tour top SG tee-to-green; elite approach profile</t>
  </si>
  <si>
    <t>Shinnecock should reward fairway-to-green discipline more than pure putting spikes.</t>
  </si>
  <si>
    <t>Has not converted as often recently; win equity lower than fit suggests.</t>
  </si>
  <si>
    <t>Trust for placement, slightly less for outright win.</t>
  </si>
  <si>
    <t>https://www.datagolf.com/</t>
  </si>
  <si>
    <t>Ludvig Åberg</t>
  </si>
  <si>
    <t>Upside pick</t>
  </si>
  <si>
    <t>-4 to +5</t>
  </si>
  <si>
    <t>T4 (-5)</t>
  </si>
  <si>
    <t>Occasional Sunday volatility; Players collapse noted</t>
  </si>
  <si>
    <t>Strong tee-to-green and par-5 scoring noted in Memorial preview</t>
  </si>
  <si>
    <t>Elite talent profile with enough length and ball striking to handle a long par-70.</t>
  </si>
  <si>
    <t>Still proving U.S. Open patience and closing under major pressure.</t>
  </si>
  <si>
    <t>Great secondary pool entry if you need upside.</t>
  </si>
  <si>
    <t>https://www.golfmonthly.com/betting/memorial-tournament-2026-betting-tips</t>
  </si>
  <si>
    <t>https://www.golfchannel.com/pga-of-america/news/pga-championship-2026-leaderboard-final-results-scores-from-aronimink</t>
  </si>
  <si>
    <t>Tommy Fleetwood</t>
  </si>
  <si>
    <t>+2000 to +2500</t>
  </si>
  <si>
    <t>B+</t>
  </si>
  <si>
    <t>Strong bounce-back candidate</t>
  </si>
  <si>
    <t>-2 to +6</t>
  </si>
  <si>
    <t>Made cut / contended early</t>
  </si>
  <si>
    <t>MC (+5)</t>
  </si>
  <si>
    <t>PGA missed cut is a real warning, but Shinnecock history is elite</t>
  </si>
  <si>
    <t>2018 Shinnecock 2nd; final-round 63</t>
  </si>
  <si>
    <t>Course history might be the best in field; tough-course runner-up profile</t>
  </si>
  <si>
    <t>The 2018 result proves he can thrive in this exact wind-and-patience setup.</t>
  </si>
  <si>
    <t>PGA MC shows current form is not spotless; win conversion remains concern.</t>
  </si>
  <si>
    <t>If people overreact to PGA MC, he becomes useful.</t>
  </si>
  <si>
    <t>https://www.cbssports.com/golf/news/pga-championship-2026-cut-line-bryson-dechambeau-tommy-fleetwood/</t>
  </si>
  <si>
    <t>https://www.golfcompendium.com/2018/11/2018-us-open.html</t>
  </si>
  <si>
    <t>Bryson DeChambeau</t>
  </si>
  <si>
    <t>Boom/Bust Star</t>
  </si>
  <si>
    <t>+1000 to +1400</t>
  </si>
  <si>
    <t>Only use if tier rewards upside</t>
  </si>
  <si>
    <t>-5 to +8</t>
  </si>
  <si>
    <t>MC (+6)</t>
  </si>
  <si>
    <t>MC (+7)</t>
  </si>
  <si>
    <t>Missed both Masters and PGA cuts; 4 MCs in 10 majors since 2024 noted</t>
  </si>
  <si>
    <t>2018 Shinnecock T25 range; 2020 and 2024 U.S. Open winner</t>
  </si>
  <si>
    <t>Major ceiling is enormous; driving can break par-70s if controlled</t>
  </si>
  <si>
    <t>He can win because his U.S. Open peak is proven and he can overpower long par 4s.</t>
  </si>
  <si>
    <t>Double missed-cut trend is impossible to ignore; feast-or-famine profile.</t>
  </si>
  <si>
    <t>LIV star with extra motivation, but very risky for pool safety.</t>
  </si>
  <si>
    <t>https://www.golfchannel.com/pga-of-america/news/bryson-dechambeau-misses-cut-2026-pga-championship</t>
  </si>
  <si>
    <t>https://www.golf.com/news/9-surprising-players-who-missed-2026-masters-cut/</t>
  </si>
  <si>
    <t>Brooks Koepka</t>
  </si>
  <si>
    <t>Major Specialist</t>
  </si>
  <si>
    <t>+2700 to +2800</t>
  </si>
  <si>
    <t>Dangerous major-only pick</t>
  </si>
  <si>
    <t>-3 to +6</t>
  </si>
  <si>
    <t>Made cut / not top 10</t>
  </si>
  <si>
    <t>No first-two-major MC issue, but form less sharp than peak</t>
  </si>
  <si>
    <t>2018 Shinnecock champion; 2024 PGA major relevance still remembered</t>
  </si>
  <si>
    <t>2018 winner at exact venue; U.S. Open toughness profile</t>
  </si>
  <si>
    <t>If Shinnecock becomes ugly, Koepka’s major patience and venue memory matter.</t>
  </si>
  <si>
    <t>Recent ceiling is less obvious than Rahm/Cam Young; LIV data is patchier.</t>
  </si>
  <si>
    <t>A classic friend-pool spoiler pick.</t>
  </si>
  <si>
    <t>https://www.golfchannel.com/usopen/news/bryson-dechambeau-2026-us-open-odds</t>
  </si>
  <si>
    <t>Tyrrell Hatton</t>
  </si>
  <si>
    <t>High-End Toughness</t>
  </si>
  <si>
    <t>+3500</t>
  </si>
  <si>
    <t>Good gritty US Open fit</t>
  </si>
  <si>
    <t>PGA MC dents the profile, Masters was excellent</t>
  </si>
  <si>
    <t>2018 Shinnecock T6</t>
  </si>
  <si>
    <t>Tough-course temperament when controlled; strong Masters LIV result</t>
  </si>
  <si>
    <t>He showed at Augusta that his game travels to major pressure, and Shinnecock rewards grit.</t>
  </si>
  <si>
    <t>Emotional volatility and PGA MC make him less safe than Xander/Fitz.</t>
  </si>
  <si>
    <t>Good if his tier lacks obvious ball-striking anchors.</t>
  </si>
  <si>
    <t>https://sportsnaut.com/golf/masters-2026-10-winners-losers</t>
  </si>
  <si>
    <t>Russell Henley</t>
  </si>
  <si>
    <t>Precision Sleeper</t>
  </si>
  <si>
    <t>+3500 to +4500</t>
  </si>
  <si>
    <t>Safe precision pick</t>
  </si>
  <si>
    <t>-1 to +6</t>
  </si>
  <si>
    <t>PGA MC, but Masters was excellent</t>
  </si>
  <si>
    <t>No 2018 Shinnecock high finish noted</t>
  </si>
  <si>
    <t>PGA Tour driving accuracy leader; rough avoidance leader</t>
  </si>
  <si>
    <t>He is exactly the kind of fairway-first player who can survive Shinnecock when others compound mistakes.</t>
  </si>
  <si>
    <t>Winning ceiling is lower than the elite names; MC at PGA keeps risk alive.</t>
  </si>
  <si>
    <t>Could be a great tier value if placed below stars.</t>
  </si>
  <si>
    <t>https://www.pgatour.com/stats/off-tee</t>
  </si>
  <si>
    <t>Justin Rose</t>
  </si>
  <si>
    <t>Veteran Contender</t>
  </si>
  <si>
    <t>Veteran floor/value</t>
  </si>
  <si>
    <t>-1 to +7</t>
  </si>
  <si>
    <t>T10 (-3)</t>
  </si>
  <si>
    <t>No issue in first two majors; age/closing ceiling question</t>
  </si>
  <si>
    <t>2018 Shinnecock T10</t>
  </si>
  <si>
    <t>Veteran patience, strong 2026 major starts</t>
  </si>
  <si>
    <t>Rose has already shown 2026 major form twice and owns a top-10 at Shinnecock.</t>
  </si>
  <si>
    <t>Hard to project as the winner over four rounds unless putter spikes.</t>
  </si>
  <si>
    <t>Strong friend-pool pick if tiers underrate veterans.</t>
  </si>
  <si>
    <t>Justin Thomas</t>
  </si>
  <si>
    <t>Volatile Upside</t>
  </si>
  <si>
    <t>+3500 to +4000</t>
  </si>
  <si>
    <t>B</t>
  </si>
  <si>
    <t>Upside but not safest</t>
  </si>
  <si>
    <t>-3 to +8</t>
  </si>
  <si>
    <t>2025 U.S. Open MC noted; high volatility on firm venues</t>
  </si>
  <si>
    <t>2018 Shinnecock MC</t>
  </si>
  <si>
    <t>Major scoring ceiling remains high after PGA T4</t>
  </si>
  <si>
    <t>If irons and putting spike together, he can go low enough to win despite tough conditions.</t>
  </si>
  <si>
    <t>U.S. Open setups have produced volatility; 2018 venue record is bad.</t>
  </si>
  <si>
    <t>Better for aggressive second roster than safe roster.</t>
  </si>
  <si>
    <t>https://www.thetimes.com/sport/golf/article/us-open-second-round-rory-mcilroy-result-leaderboard-nfs99hkp2</t>
  </si>
  <si>
    <t>Aaron Rai</t>
  </si>
  <si>
    <t>Fresh Major Champ</t>
  </si>
  <si>
    <t>+7000</t>
  </si>
  <si>
    <t>Interesting value, not automatic</t>
  </si>
  <si>
    <t>0 to +7</t>
  </si>
  <si>
    <t>Won PGA (-9)</t>
  </si>
  <si>
    <t>New major champion bounce or hangover risk</t>
  </si>
  <si>
    <t>Accuracy/control profile; PGA win at tough Aronimink</t>
  </si>
  <si>
    <t>Rai just proved he can win a brutal major-style test with control and composure.</t>
  </si>
  <si>
    <t>Market may still underrate him, but back-to-back major wins are rare and pressure changes.</t>
  </si>
  <si>
    <t>Great if your pool ignores him due to name value.</t>
  </si>
  <si>
    <t>https://www.reuters.com/sports/golf/aaron-rai-keen-learn-mistakes-heading-into-memorial-tournament--flm-2026-06-02/</t>
  </si>
  <si>
    <t>Joaquin Niemann</t>
  </si>
  <si>
    <t>LIV Sleeper</t>
  </si>
  <si>
    <t>+4500 to +6000</t>
  </si>
  <si>
    <t>Upside sleeper</t>
  </si>
  <si>
    <t>-2 to +8</t>
  </si>
  <si>
    <t>Not in Masters / qualified via LIV pathway</t>
  </si>
  <si>
    <t>T18 (-1)</t>
  </si>
  <si>
    <t>Less major reps this year, but PGA T18 was solid</t>
  </si>
  <si>
    <t>PGA T18 with David Puig; LIV form harder to benchmark</t>
  </si>
  <si>
    <t>He has enough ball-striking and confidence to be a dark horse if the elite names stumble.</t>
  </si>
  <si>
    <t>Not as much major evidence as Rahm/Koepka; MC risk higher than PGA stars.</t>
  </si>
  <si>
    <t>Useful if you want LIV leverage without Bryson volatility.</t>
  </si>
  <si>
    <t>https://www.golfmonthly.com/news/how-did-all-11-liv-golfers-fare-at-the-2026-pga-championship</t>
  </si>
  <si>
    <t>https://www.golfmonthly.com/news/us-open-field-2026-whos-confirmed-for-shinnecock-hills</t>
  </si>
  <si>
    <t>Cameron Smith</t>
  </si>
  <si>
    <t>Short-Game Wildcard</t>
  </si>
  <si>
    <t>+5000 to +7000</t>
  </si>
  <si>
    <t>B-</t>
  </si>
  <si>
    <t>High-risk short-game play</t>
  </si>
  <si>
    <t>-1 to +9</t>
  </si>
  <si>
    <t>MC at Masters</t>
  </si>
  <si>
    <t>Masters MC was concerning; PGA rebound was excellent</t>
  </si>
  <si>
    <t>Elite short game; coaching change noted before PGA T7</t>
  </si>
  <si>
    <t>If Shinnecock gets firm and scrambling-heavy, Smith can save strokes others lose.</t>
  </si>
  <si>
    <t>Driving/accuracy and recent MC history make him risky.</t>
  </si>
  <si>
    <t>More useful in a contrarian roster.</t>
  </si>
  <si>
    <t>https://www.golfmonthly.com/news/liv-golf-leaderboard-the-masters-2026</t>
  </si>
  <si>
    <t>Wyndham Clark</t>
  </si>
  <si>
    <t>US Open Past Champ</t>
  </si>
  <si>
    <t>+5500</t>
  </si>
  <si>
    <t>Boom/bust value</t>
  </si>
  <si>
    <t>-2 to +9</t>
  </si>
  <si>
    <t>PGA MC; 2023 U.S. Open win keeps ceiling alive</t>
  </si>
  <si>
    <t>Recent CJ Cup Byron Nelson win cited by CBS</t>
  </si>
  <si>
    <t>He has proven he can win a U.S. Open and has recent win equity.</t>
  </si>
  <si>
    <t>Accuracy and missed-cut risk are real on Shinnecock.</t>
  </si>
  <si>
    <t>Only if tier makes him a value over safer names.</t>
  </si>
  <si>
    <t>https://www.cbssports.com/golf/news/2026-u-s-open-odds-picks-date-pga-predictions-golf-field/</t>
  </si>
  <si>
    <t>Viktor Hovland</t>
  </si>
  <si>
    <t>Volatile Talent</t>
  </si>
  <si>
    <t>Risky upside</t>
  </si>
  <si>
    <t>-3 to +9</t>
  </si>
  <si>
    <t>PGA MC and Memorial WD/withdrawal context lowers confidence</t>
  </si>
  <si>
    <t>Ceiling is elite when ball-striking returns</t>
  </si>
  <si>
    <t>If he finds the old tee-to-green gear, Shinnecock is not too big for him.</t>
  </si>
  <si>
    <t>Current form and short-game trust are not clean enough.</t>
  </si>
  <si>
    <t>Prefer only in second pool.</t>
  </si>
  <si>
    <t>Akshay Bhatia</t>
  </si>
  <si>
    <t>Young Upside</t>
  </si>
  <si>
    <t>+5500 to +7000</t>
  </si>
  <si>
    <t>C+</t>
  </si>
  <si>
    <t>Aggressive only</t>
  </si>
  <si>
    <t>-2 to +10</t>
  </si>
  <si>
    <t>MC (+6 / +150 area)</t>
  </si>
  <si>
    <t>Missed both Masters and PGA cuts</t>
  </si>
  <si>
    <t>Talent and price are interesting, but MC trend is loud</t>
  </si>
  <si>
    <t>He can contend if approach play spikes and the lefty ball flight handles wind.</t>
  </si>
  <si>
    <t>Double MC makes him a dangerous pool pick unless he is in a weak tier.</t>
  </si>
  <si>
    <t>Watchlist more than pick for now.</t>
  </si>
  <si>
    <t>Sungjae Im</t>
  </si>
  <si>
    <t>Steady Profile</t>
  </si>
  <si>
    <t>Tier-dependent safe-ish</t>
  </si>
  <si>
    <t>0 to +9</t>
  </si>
  <si>
    <t>PGA MC after mixed form</t>
  </si>
  <si>
    <t>Usually durable and precise enough for hard-course pars</t>
  </si>
  <si>
    <t>His game can grind, which matters if winning score is around even par.</t>
  </si>
  <si>
    <t>Ceiling is not obvious and PGA MC lowers trust.</t>
  </si>
  <si>
    <t>Use only if your tier is thin.</t>
  </si>
  <si>
    <t>https://www.cbssports.com/golf/stats/pga-tour/drive-accuracy/</t>
  </si>
  <si>
    <t>Corey Conners</t>
  </si>
  <si>
    <t>Ball-Striking Sleeper</t>
  </si>
  <si>
    <t>+8000</t>
  </si>
  <si>
    <t>Good cut-safety value</t>
  </si>
  <si>
    <t>0 to +8</t>
  </si>
  <si>
    <t>No big MC issue but not a top-10 major trend lately</t>
  </si>
  <si>
    <t>Fairways and irons profile well for U.S. Open</t>
  </si>
  <si>
    <t>Conners can hang around by hitting greens and avoiding disasters.</t>
  </si>
  <si>
    <t>Putting/win equity is the obvious limitation.</t>
  </si>
  <si>
    <t>Good if the goal is made-cut points.</t>
  </si>
  <si>
    <t>Hideki Matsuyama</t>
  </si>
  <si>
    <t>Major Veteran</t>
  </si>
  <si>
    <t>+6000 to +8000</t>
  </si>
  <si>
    <t>Respectable veteran pick</t>
  </si>
  <si>
    <t>-1 to +8</t>
  </si>
  <si>
    <t>Health and consistency risk</t>
  </si>
  <si>
    <t>2018 Shinnecock T16; final-round 66</t>
  </si>
  <si>
    <t>Elite iron/short-game peak; tough-course experience</t>
  </si>
  <si>
    <t>His 2018 final-round 66 shows he can score at Shinnecock when conditions allow.</t>
  </si>
  <si>
    <t>Health and putting make him hard to trust as a winner.</t>
  </si>
  <si>
    <t>Good as a secondary value, not anchor.</t>
  </si>
  <si>
    <t>Patrick Cantlay</t>
  </si>
  <si>
    <t>Safe But Cold</t>
  </si>
  <si>
    <t>Floor pick, low buzz</t>
  </si>
  <si>
    <t>No glaring MC issue; limited recent win spark</t>
  </si>
  <si>
    <t>2018 Shinnecock T45 range</t>
  </si>
  <si>
    <t>Controlled game, patient temperament</t>
  </si>
  <si>
    <t>Cantlay’s style fits a U.S. Open where pars gain value.</t>
  </si>
  <si>
    <t>Current ceiling is not exciting compared with Young/Fitz/Xander.</t>
  </si>
  <si>
    <t>Useful only if overlooked.</t>
  </si>
  <si>
    <t>Shane Lowry</t>
  </si>
  <si>
    <t>Wind Specialist</t>
  </si>
  <si>
    <t>Weather-dependent value</t>
  </si>
  <si>
    <t>Hard-course frustration can appear, but wind skill is real</t>
  </si>
  <si>
    <t>2018 Shinnecock made cut; no top-10</t>
  </si>
  <si>
    <t>Wind, flighted irons, scrambling</t>
  </si>
  <si>
    <t>If Long Island wind becomes the story, Lowry’s skill set rises.</t>
  </si>
  <si>
    <t>Not as much win equity in elite field; can lose strokes putting.</t>
  </si>
  <si>
    <t>Best if forecast is windy.</t>
  </si>
  <si>
    <t>Sam Burns</t>
  </si>
  <si>
    <t>Putting/Scoring Sleeper</t>
  </si>
  <si>
    <t>+6500</t>
  </si>
  <si>
    <t>Volatile sleeper</t>
  </si>
  <si>
    <t>Top contender early / strong Masters</t>
  </si>
  <si>
    <t>No first-two-major MC issue; volatility depends on approach</t>
  </si>
  <si>
    <t>Strong scoring when putter heats up; 2025 U.S. Open contention at Oakmont noted</t>
  </si>
  <si>
    <t>Burns can get hot enough to post a low number when everyone else stalls.</t>
  </si>
  <si>
    <t>Shinnecock may expose approach/accuracy if not sharp.</t>
  </si>
  <si>
    <t>Second-pool upside option.</t>
  </si>
  <si>
    <t>https://www.golfchannel.com/pga-tour/live/2026-masters-live-updates-leaderboard-scores-results-highlights-and-news-from-round-2</t>
  </si>
  <si>
    <t>https://www.golfmonthly.com/news/live/us-open-golf-2025-leaderboard-scores</t>
  </si>
  <si>
    <t>Jordan Spieth</t>
  </si>
  <si>
    <t>Chaos Veteran</t>
  </si>
  <si>
    <t>TBD / qualified via OWGR path</t>
  </si>
  <si>
    <t>Only if gut/low ownership</t>
  </si>
  <si>
    <t>Qualification path and form less stable than stars</t>
  </si>
  <si>
    <t>Creative short game and U.S. Open win history</t>
  </si>
  <si>
    <t>If Shinnecock turns into scrambling chaos, Spieth can manufacture a week.</t>
  </si>
  <si>
    <t>Driver volatility is scary here.</t>
  </si>
  <si>
    <t>Fun, not safe.</t>
  </si>
  <si>
    <t>https://www.golfmonthly.com/news/jordan-spieth-us-open-qualifying</t>
  </si>
  <si>
    <t>J.J. Spaun</t>
  </si>
  <si>
    <t>Defending US Open Champ</t>
  </si>
  <si>
    <t>+7000 to +9000</t>
  </si>
  <si>
    <t>Narrative/value only</t>
  </si>
  <si>
    <t>PGA MC after 2025 U.S. Open win</t>
  </si>
  <si>
    <t>Defending U.S. Open champion; tough-course resilience</t>
  </si>
  <si>
    <t>He proved at Oakmont that he can survive a brutal U.S. Open better than stars.</t>
  </si>
  <si>
    <t>Back-to-back U.S. Open wins are unlikely; PGA MC is a warning.</t>
  </si>
  <si>
    <t>Good story, not a top pick.</t>
  </si>
  <si>
    <t>Robert MacIntyre</t>
  </si>
  <si>
    <t>Lefty Grinder</t>
  </si>
  <si>
    <t>Watchlist/bounce-back</t>
  </si>
  <si>
    <t>2025 U.S. Open runner-up at Oakmont noted</t>
  </si>
  <si>
    <t>A recent U.S. Open runner-up shows he can handle a grind.</t>
  </si>
  <si>
    <t>Double MC trend is a major concern.</t>
  </si>
  <si>
    <t>Only if you want to bet on bounce-back.</t>
  </si>
  <si>
    <t>Si Woo Kim</t>
  </si>
  <si>
    <t>Accuracy Sleeper</t>
  </si>
  <si>
    <t>Sneaky if low tier</t>
  </si>
  <si>
    <t>No headline MC issue</t>
  </si>
  <si>
    <t>Data Golf projection showed top-5 probability cluster; driving accuracy top tier</t>
  </si>
  <si>
    <t>He can hit enough fairways and greens to quietly finish high.</t>
  </si>
  <si>
    <t>Winning probability is still modest.</t>
  </si>
  <si>
    <t>Great under-the-radar pool candidate.</t>
  </si>
  <si>
    <t>Patrick Reed</t>
  </si>
  <si>
    <t>Short-Game Scrapper</t>
  </si>
  <si>
    <t>+9000</t>
  </si>
  <si>
    <t>Contrarian grinder</t>
  </si>
  <si>
    <t>Made cut / around top 10</t>
  </si>
  <si>
    <t>No MC issue, but week-to-week LIV data limited</t>
  </si>
  <si>
    <t>2018 Shinnecock 4th</t>
  </si>
  <si>
    <t>Elite 2018 Shinnecock result; PGA top 10</t>
  </si>
  <si>
    <t>Reed’s short game and past Shinnecock result make him dangerous if scoring gets ugly.</t>
  </si>
  <si>
    <t>Ball-striking consistency and LIV comparability lower confidence.</t>
  </si>
  <si>
    <t>Useful if ignored in pool.</t>
  </si>
  <si>
    <t>Tony Finau</t>
  </si>
  <si>
    <t>Long-Iron Value</t>
  </si>
  <si>
    <t>Deep value only</t>
  </si>
  <si>
    <t>Not a current top-form name</t>
  </si>
  <si>
    <t>2018 Shinnecock 5th</t>
  </si>
  <si>
    <t>Length plus 2018 venue success</t>
  </si>
  <si>
    <t>Past venue result shows he can find the right angles here.</t>
  </si>
  <si>
    <t>Recent win equity feels lower than the elite tier.</t>
  </si>
  <si>
    <t>Deep pool option only.</t>
  </si>
  <si>
    <t>Max Homa</t>
  </si>
  <si>
    <t>Form Concern</t>
  </si>
  <si>
    <t>+10000</t>
  </si>
  <si>
    <t>C</t>
  </si>
  <si>
    <t>Avoid unless tier is weak</t>
  </si>
  <si>
    <t>+2 to +12</t>
  </si>
  <si>
    <t>MC (+12)</t>
  </si>
  <si>
    <t>Very poor PGA MC</t>
  </si>
  <si>
    <t>Upside exists but current form is major concern</t>
  </si>
  <si>
    <t>He has the talent to surprise if the swing clicks quickly.</t>
  </si>
  <si>
    <t>Recent major signal is too weak for a serious pool pick.</t>
  </si>
  <si>
    <t>Avoid for now.</t>
  </si>
  <si>
    <t>Alex Smalley</t>
  </si>
  <si>
    <t>Recent Breakout</t>
  </si>
  <si>
    <t>Deep sleeper</t>
  </si>
  <si>
    <t>Not a major factor</t>
  </si>
  <si>
    <t>No negative PGA signal; major-pressure sample small</t>
  </si>
  <si>
    <t>PGA runner-up and driving accuracy top tier</t>
  </si>
  <si>
    <t>He just handled major pressure at Aronimink better than many stars.</t>
  </si>
  <si>
    <t>Small major résumé; could regress after career week.</t>
  </si>
  <si>
    <t>Fun if your friends underrate him.</t>
  </si>
  <si>
    <t>Chris Gotterup</t>
  </si>
  <si>
    <t>Power Sleeper</t>
  </si>
  <si>
    <t>Deep upside</t>
  </si>
  <si>
    <t>Missed cuts at some events; consistency risk</t>
  </si>
  <si>
    <t>Power profile, PGA top 10</t>
  </si>
  <si>
    <t>If power plays and he keeps the ball in front of him, he can outrun price.</t>
  </si>
  <si>
    <t>Accuracy/consistency are a problem at U.S. Open setups.</t>
  </si>
  <si>
    <t>Only for second pool or sleeper section.</t>
  </si>
  <si>
    <t>David Puig</t>
  </si>
  <si>
    <t>Young LIV Sleeper</t>
  </si>
  <si>
    <t>Not in Masters</t>
  </si>
  <si>
    <t>Limited major sample but PGA was positive</t>
  </si>
  <si>
    <t>PGA T18 alongside Niemann</t>
  </si>
  <si>
    <t>Young talent with enough form to be on a watchlist.</t>
  </si>
  <si>
    <t>Too little evidence to trust as a primary pick.</t>
  </si>
  <si>
    <t>Deep cut only.</t>
  </si>
  <si>
    <t>Min Woo Lee</t>
  </si>
  <si>
    <t>Talented But Risky</t>
  </si>
  <si>
    <t>Volatile upside</t>
  </si>
  <si>
    <t>Masters MC warning</t>
  </si>
  <si>
    <t>Power and creativity, but accuracy can swing</t>
  </si>
  <si>
    <t>He has the raw tools to create a top-10 if his driver behaves.</t>
  </si>
  <si>
    <t>U.S. Open penalty rough makes the misses expensive.</t>
  </si>
  <si>
    <t>Fun but not safe.</t>
  </si>
  <si>
    <t>Harris English</t>
  </si>
  <si>
    <t>Cut-Safety Veteran</t>
  </si>
  <si>
    <t>Tier 4 safety pivot</t>
  </si>
  <si>
    <t>Safer cut-first Tier 4 pick</t>
  </si>
  <si>
    <t>E to +8</t>
  </si>
  <si>
    <t>T30</t>
  </si>
  <si>
    <t>T18</t>
  </si>
  <si>
    <t>Only notable recent MC was Players; one blowup hole</t>
  </si>
  <si>
    <t>Strong U.S. Open cut profile; veteran grinder</t>
  </si>
  <si>
    <t>13 made cuts in 14 starts; calm veteran profile</t>
  </si>
  <si>
    <t>Can beat Tier 4 by surviving while others chase upside</t>
  </si>
  <si>
    <t>Less winning ceiling than Rai; can settle into T25-T35</t>
  </si>
  <si>
    <t>Lower pressure than Rai after Rai's PGA win</t>
  </si>
  <si>
    <t>https://www.pgatour.com/player/34099/harris-english</t>
  </si>
  <si>
    <t>https://www.cbssports.com/golf/players/1746754/harris-english/tournament-results/</t>
  </si>
  <si>
    <t>Alex Noren</t>
  </si>
  <si>
    <t>Veteran Grinder</t>
  </si>
  <si>
    <t>Tier 5 cut-first pick</t>
  </si>
  <si>
    <t>Best Tier 5 survival pick</t>
  </si>
  <si>
    <t>+2 to +10</t>
  </si>
  <si>
    <t>T30-type profile</t>
  </si>
  <si>
    <t>T26-type profile</t>
  </si>
  <si>
    <t>No major form collapse concern</t>
  </si>
  <si>
    <t>T25 at Shinnecock in 2018</t>
  </si>
  <si>
    <t>Veteran, wind control, difficult-course comfort</t>
  </si>
  <si>
    <t>Can grind pars when scoring gets ugly</t>
  </si>
  <si>
    <t>Lower winning ceiling than Cameron Smith</t>
  </si>
  <si>
    <t>Useful if friends chase bigger names</t>
  </si>
  <si>
    <t>https://www.golfdigest.com/story/us-open-2026-power-ranking-entire-field-shinnecock-hills</t>
  </si>
  <si>
    <t>https://www.usopen.com/</t>
  </si>
  <si>
    <t>Brian Harman</t>
  </si>
  <si>
    <t>Wind/Scramble Veteran</t>
  </si>
  <si>
    <t>Tier 6 safest pick</t>
  </si>
  <si>
    <t>Safest Tier 6 cut-first pick</t>
  </si>
  <si>
    <t>+2 to +11</t>
  </si>
  <si>
    <t>Made cut profile</t>
  </si>
  <si>
    <t>No major concern beyond limited upside</t>
  </si>
  <si>
    <t>T36 at Shinnecock in 2018; strong U.S. Open survival profile</t>
  </si>
  <si>
    <t>Low-ball lefty; short game; wind comfort</t>
  </si>
  <si>
    <t>Can make four rounds and beat Tier 6 through survival</t>
  </si>
  <si>
    <t>Lower ceiling than Harry Hall if Hall pops</t>
  </si>
  <si>
    <t>Best Tier 6 if cut-making is priority</t>
  </si>
  <si>
    <t>Harry Hall</t>
  </si>
  <si>
    <t>Short-Game Upside</t>
  </si>
  <si>
    <t>Tier 6 aggressive separator</t>
  </si>
  <si>
    <t>Aggressive Tier 6 upside</t>
  </si>
  <si>
    <t>+4 to +13</t>
  </si>
  <si>
    <t>TBD</t>
  </si>
  <si>
    <t>Less proven in this exact major spot</t>
  </si>
  <si>
    <t>Limited U.S. Open evidence</t>
  </si>
  <si>
    <t>Short-game creativity; top-10 flashes</t>
  </si>
  <si>
    <t>Can separate if the course becomes a scrambling contest</t>
  </si>
  <si>
    <t>More missed-cut risk than Harman</t>
  </si>
  <si>
    <t>Use on second lineup, not safest main card</t>
  </si>
  <si>
    <t>https://nypost.com/2026/06/16/betting/2026-us-open-predictions-best-long-shot-bets-for-shinnecock-hills/</t>
  </si>
  <si>
    <t>https://www.pgatour.com/</t>
  </si>
  <si>
    <t>Ryan Fox</t>
  </si>
  <si>
    <t>Wind Player</t>
  </si>
  <si>
    <t>Tier 6 backup</t>
  </si>
  <si>
    <t>Solid Tier 6 backup</t>
  </si>
  <si>
    <t>+3 to +12</t>
  </si>
  <si>
    <t>MC</t>
  </si>
  <si>
    <t>Masters MC concern</t>
  </si>
  <si>
    <t>T41 at Shinnecock 2018; T19 at 2025 U.S. Open</t>
  </si>
  <si>
    <t>Wind and links-style comfort</t>
  </si>
  <si>
    <t>Can handle wind better than most Tier 6 players</t>
  </si>
  <si>
    <t>Less safe than Harman; less upside than Hall</t>
  </si>
  <si>
    <t>Middle-ground Tier 6 alternative</t>
  </si>
  <si>
    <t>Daniel Berger</t>
  </si>
  <si>
    <t>Controlled Ball-Striker</t>
  </si>
  <si>
    <t>Tier 6 sleeper backup</t>
  </si>
  <si>
    <t>Playable Tier 6 sleeper</t>
  </si>
  <si>
    <t>+4 to +12</t>
  </si>
  <si>
    <t>Health/form stability needs trust</t>
  </si>
  <si>
    <t>Past U.S. Open experience</t>
  </si>
  <si>
    <t>Controlled ball-striking and veteran feel</t>
  </si>
  <si>
    <t>Can survive if his control is sharp</t>
  </si>
  <si>
    <t>Not as clear a Shinnecock fit as Harman</t>
  </si>
  <si>
    <t>Only if avoiding obvious names</t>
  </si>
  <si>
    <t>Keegan Bradley</t>
  </si>
  <si>
    <t>Major Experience</t>
  </si>
  <si>
    <t>Tier 6 volatile veteran</t>
  </si>
  <si>
    <t>Second-entry only</t>
  </si>
  <si>
    <t>+5 to +14</t>
  </si>
  <si>
    <t>T21</t>
  </si>
  <si>
    <t>Several 2026 missed cuts; Shinnecock 2018 was ugly</t>
  </si>
  <si>
    <t>T4 at 2014 U.S. Open; missed cut badly at Shinnecock 2018</t>
  </si>
  <si>
    <t>Experience, fire, occasional high-end weeks</t>
  </si>
  <si>
    <t>Can pop if ball-striking is sharp</t>
  </si>
  <si>
    <t>Emotional/streaky; poor Shinnecock 2018 signal</t>
  </si>
  <si>
    <t>Not main-card cut-safety pick</t>
  </si>
  <si>
    <t>https://www.usopen.com/players/33141.html</t>
  </si>
  <si>
    <t>https://www.espn.com/golf/player/results/_/id/4513/keegan-bradley</t>
  </si>
  <si>
    <t>2026 U.S. Open Player Card - Shinnecock Hills</t>
  </si>
  <si>
    <t>Pick a player from the dropdown. This now uses INDEX/MATCH for compatibility and includes your final-pick players.</t>
  </si>
  <si>
    <t>Select Player</t>
  </si>
  <si>
    <t>Market Note</t>
  </si>
  <si>
    <t>2026 U.S. Open Contender Board</t>
  </si>
  <si>
    <t>Course</t>
  </si>
  <si>
    <t>Dates</t>
  </si>
  <si>
    <t>Par/Yards</t>
  </si>
  <si>
    <t>Core Test</t>
  </si>
  <si>
    <t>Model Weights</t>
  </si>
  <si>
    <t>Winning Style</t>
  </si>
  <si>
    <t>Pool Rule</t>
  </si>
  <si>
    <t>Update Plan</t>
  </si>
  <si>
    <t>Shinnecock Hills, Southampton NY</t>
  </si>
  <si>
    <t>June 18-21, 2026</t>
  </si>
  <si>
    <t>Par 70 / 7,440 yds</t>
  </si>
  <si>
    <t>Wind, firm turf, long par 4s, approach control, scrambling</t>
  </si>
  <si>
    <t>Form 25%, US Open fit 25%, Shinnecock/comp 15%, cut safety 15%, upside 15%, risk 5%</t>
  </si>
  <si>
    <t>Pars matter; avoid big numbers; fairway/green discipline</t>
  </si>
  <si>
    <t>No official tiers yet; use Custom Tier as placeholder</t>
  </si>
  <si>
    <t>Replace tier column when pool releases tiers</t>
  </si>
  <si>
    <t>Rank</t>
  </si>
  <si>
    <t>Rating</t>
  </si>
  <si>
    <t>Grade</t>
  </si>
  <si>
    <t>Projected Score</t>
  </si>
  <si>
    <t>Main Green Flag</t>
  </si>
  <si>
    <t>Main Red Flag</t>
  </si>
  <si>
    <t>Matt Fitzpatrick</t>
  </si>
  <si>
    <t>Method / Note</t>
  </si>
  <si>
    <t>Detail</t>
  </si>
  <si>
    <t>What this workbook is</t>
  </si>
  <si>
    <t>A pre-tier U.S. Open contender model for Shinnecock Hills. Tiers can be added later when your pool releases them.</t>
  </si>
  <si>
    <t>Course fact</t>
  </si>
  <si>
    <t>USGA lists Shinnecock Hills as par 70, 7,440 yards, June 18-21, 2026.</t>
  </si>
  <si>
    <t>Course angle</t>
  </si>
  <si>
    <t>Shinnecock is wind-exposed and designed around wind/angles; the model boosts accuracy, approach, scrambling, and patience.</t>
  </si>
  <si>
    <t>2018 Shinnecock baseline</t>
  </si>
  <si>
    <t>Brooks Koepka won at +1, Fleetwood was 2nd after a final-round 63, and several current players have exact-course history.</t>
  </si>
  <si>
    <t>Missed cut logic</t>
  </si>
  <si>
    <t>A recent MC is not automatic elimination. I separated bad fit/poor form from volatility, weird major setups, and high-upside bounce-back.</t>
  </si>
  <si>
    <t>Important limitation</t>
  </si>
  <si>
    <t>Odds and field qualification will move. Refresh the Odds / Market Note and missed-cut fields after Memorial, Canadian Open, and final qualifying.</t>
  </si>
  <si>
    <t>Source</t>
  </si>
  <si>
    <t>URL</t>
  </si>
  <si>
    <t>Used For</t>
  </si>
  <si>
    <t>USGA / U.S. Open course page</t>
  </si>
  <si>
    <t>https://www.usopen.com/2026/about-shinnecock-hills-golf-club.html</t>
  </si>
  <si>
    <t>Venue, par, yardage, hole-by-hole course info, wind/routing notes</t>
  </si>
  <si>
    <t>US Open official home</t>
  </si>
  <si>
    <t>Dates and host venue</t>
  </si>
  <si>
    <t>Golf Channel odds</t>
  </si>
  <si>
    <t>Early odds after PGA Championship</t>
  </si>
  <si>
    <t>Golf Digest picks</t>
  </si>
  <si>
    <t>Market/value notes on Cameron Young, Xander, Fitzpatrick</t>
  </si>
  <si>
    <t>PGA Championship official recap</t>
  </si>
  <si>
    <t>PGA winner and top 10</t>
  </si>
  <si>
    <t>Golf Channel PGA leaderboard</t>
  </si>
  <si>
    <t>PGA final scores and round scores</t>
  </si>
  <si>
    <t>CBS PGA cut line</t>
  </si>
  <si>
    <t>PGA missed-cut list</t>
  </si>
  <si>
    <t>Golf.com Masters MC list</t>
  </si>
  <si>
    <t>https://golf.com/news/9-surprising-players-who-missed-2026-masters-cut/</t>
  </si>
  <si>
    <t>Masters missed-cut list</t>
  </si>
  <si>
    <t>Guardian Masters live recap</t>
  </si>
  <si>
    <t>Masters winner and top contenders</t>
  </si>
  <si>
    <t>PGA Tour SG tee-to-green</t>
  </si>
  <si>
    <t>Current tee-to-green leaders</t>
  </si>
  <si>
    <t>PGA Tour stats</t>
  </si>
  <si>
    <t>GIR and broad PGA Tour stat leaders</t>
  </si>
  <si>
    <t>2018 U.S. Open results</t>
  </si>
  <si>
    <t>Shinnecock 2018 exact-course history</t>
  </si>
  <si>
    <t>OWGR SG World Rating</t>
  </si>
  <si>
    <t>World strokes-gained rating signal</t>
  </si>
  <si>
    <t>Golf Monthly 2026 field</t>
  </si>
  <si>
    <t>Confirmed field/qualifying context</t>
  </si>
  <si>
    <t>2026 U.S. Open Pool: Final Picks Score Tracker</t>
  </si>
  <si>
    <t>Shinnecock Hills</t>
  </si>
  <si>
    <t>How to use this sheet</t>
  </si>
  <si>
    <t>Par per round</t>
  </si>
  <si>
    <t>Tiebreaker winner total</t>
  </si>
  <si>
    <t>Enter Here</t>
  </si>
  <si>
    <t>Strategy</t>
  </si>
  <si>
    <t>Cut-first, wind-control, veteran survival</t>
  </si>
  <si>
    <t>Tier</t>
  </si>
  <si>
    <t>R1</t>
  </si>
  <si>
    <t>R2</t>
  </si>
  <si>
    <t>R3</t>
  </si>
  <si>
    <t>R4</t>
  </si>
  <si>
    <t>Rounds In</t>
  </si>
  <si>
    <t>Live Total</t>
  </si>
  <si>
    <t>Live +/-</t>
  </si>
  <si>
    <t>Cut Watch</t>
  </si>
  <si>
    <t>R1 Read</t>
  </si>
  <si>
    <t>R2 Read</t>
  </si>
  <si>
    <t>R3 Read</t>
  </si>
  <si>
    <t>R4 Read</t>
  </si>
  <si>
    <t>Manual Notes</t>
  </si>
  <si>
    <t>Lineup</t>
  </si>
  <si>
    <t>Any Player Score Surprise Checker</t>
  </si>
  <si>
    <t>Round Score</t>
  </si>
  <si>
    <t>Score +/-</t>
  </si>
  <si>
    <t>Evaluation</t>
  </si>
  <si>
    <t>What it means</t>
  </si>
  <si>
    <t>Expected Round</t>
  </si>
  <si>
    <t>Realistic High</t>
  </si>
  <si>
    <t>Surprising High</t>
  </si>
  <si>
    <t>Very Surprising At</t>
  </si>
  <si>
    <t>Course Fit Note</t>
  </si>
  <si>
    <t>Elite floor; 80 would be a major red flag</t>
  </si>
  <si>
    <t>U.S. Open fit; controlled ball flight</t>
  </si>
  <si>
    <t>Veteran U.S. Open grinder</t>
  </si>
  <si>
    <t>Cut-first profile; steady</t>
  </si>
  <si>
    <t>Steady cut-maker; lower pressure than Rai</t>
  </si>
  <si>
    <t>Veteran grinder; realistic survival profile</t>
  </si>
  <si>
    <t>Low-ball wind player; safest Tier 6</t>
  </si>
  <si>
    <t>Higher upside than English; post-PGA pressure concern</t>
  </si>
  <si>
    <t>Elite iron control; putting/short game pressure</t>
  </si>
  <si>
    <t>Short-game survival; upside over Cantlay</t>
  </si>
  <si>
    <t>High upside; LIV/accuracy volatility</t>
  </si>
  <si>
    <t>Shinnecock history; closing concern</t>
  </si>
  <si>
    <t>Short-game upside; long-game risk</t>
  </si>
  <si>
    <t>Upside Tier 6 short-game play</t>
  </si>
  <si>
    <t>Ball-striking name; U.S. Open cut risk</t>
  </si>
  <si>
    <t>Known name; not strongest Shinnecock edge</t>
  </si>
  <si>
    <t>Major experience; Shinnecock 2018 concern</t>
  </si>
  <si>
    <t>Open the workbook and go to the Final Picks Tracker tab. Each person can type their own six golfers into the player boxes, then enter that golfer’s actual round scores in the R1, R2, R3, and R4 boxes as the tournament goes on. Make sure to enter the actual stroke score, like 70, 72, 75, or 80, not the plus or minus score. The sheet uses Shinnecock’s par of 70 to automatically calculate each player’s live total and live plus or minus score, so a 72 becomes +2 and a 68 becomes -2. The Current cut line box is in B7. It is currently estimated at +8, but you can change B7 to the real projected cut line on Friday, such as 6, 7, 8, or 9. After scores are entered, the tracker updates the rounds completed, live total, live plus or minus, cut watch, and score reaction. The color/status section helps show whether a round was strong, normal, risky, or very surprising. Only edit the player name boxes, round score boxes, and the cut line box. Do not overwrite the formula cells.</t>
  </si>
  <si>
    <t>Current cut line (+/-)</t>
  </si>
  <si>
    <t>Update this number during Friday cut watch. Example: type 6, 7, 8, or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</si>
</sst>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3">
    <font>
      <sz val="11"/>
      <name val="Carlito"/>
    </font>
    <font>
      <b/>
      <sz val="11"/>
      <color rgb="FFFFFFFF"/>
      <name val="Carlito"/>
    </font>
    <font>
      <b/>
      <sz val="18"/>
      <color rgb="FFFFFFFF"/>
      <name val="Carlito"/>
    </font>
    <font>
      <i/>
      <sz val="11"/>
      <name val="Carlito"/>
    </font>
    <font>
      <b/>
      <sz val="11"/>
      <name val="Carlito"/>
    </font>
    <font>
      <b/>
      <sz val="16"/>
      <name val="Carlito"/>
    </font>
    <font>
      <b/>
      <sz val="16"/>
      <color rgb="FFFFFFFF"/>
      <name val="Carlito"/>
    </font>
    <font>
      <b/>
      <sz val="13"/>
      <color rgb="FFFFFFFF"/>
      <name val="Carlito"/>
    </font>
    <font>
      <sz val="14"/>
      <name val="Carlito"/>
    </font>
    <font>
      <sz val="12"/>
      <name val="Carlito"/>
    </font>
    <font>
      <b/>
      <sz val="12"/>
      <name val="Carlito"/>
    </font>
    <font>
      <b/>
      <sz val="11"/>
      <color rgb="FF000000"/>
      <name val="Carlito"/>
    </font>
    <font>
      <i/>
      <sz val="12"/>
      <color rgb="FF1F4E78"/>
      <name val="Carlito"/>
    </font>
  </fonts>
  <fills count="20">
    <fill>
      <patternFill patternType="none"/>
    </fill>
    <fill>
      <patternFill patternType="gray125"/>
    </fill>
    <fill>
      <patternFill patternType="solid">
        <fgColor rgb="FF0B1F33"/>
      </patternFill>
    </fill>
    <fill>
      <patternFill patternType="solid">
        <fgColor rgb="FFE0F2FE"/>
      </patternFill>
    </fill>
    <fill>
      <patternFill patternType="solid">
        <fgColor rgb="FFF3F4F6"/>
      </patternFill>
    </fill>
    <fill>
      <patternFill patternType="solid">
        <fgColor rgb="FFFEF3C7"/>
      </patternFill>
    </fill>
    <fill>
      <patternFill patternType="solid">
        <fgColor rgb="FFDCFCE7"/>
      </patternFill>
    </fill>
    <fill>
      <patternFill patternType="solid">
        <fgColor rgb="FFFECACA"/>
      </patternFill>
    </fill>
    <fill>
      <patternFill patternType="solid">
        <fgColor rgb="FFF8FAFC"/>
      </patternFill>
    </fill>
    <fill>
      <patternFill patternType="solid">
        <fgColor rgb="FF1F2937"/>
      </patternFill>
    </fill>
    <fill>
      <patternFill patternType="solid">
        <fgColor rgb="FF111827"/>
      </patternFill>
    </fill>
    <fill>
      <patternFill patternType="solid">
        <fgColor rgb="FFE5E7EB"/>
      </patternFill>
    </fill>
    <fill>
      <patternFill patternType="solid">
        <fgColor rgb="FFF9FAFB"/>
      </patternFill>
    </fill>
    <fill>
      <patternFill patternType="solid">
        <fgColor rgb="FFFEF3C7"/>
      </patternFill>
    </fill>
    <fill>
      <patternFill patternType="solid">
        <fgColor rgb="FF374151"/>
      </patternFill>
    </fill>
    <fill>
      <patternFill patternType="solid">
        <fgColor rgb="FFFFFF00"/>
      </patternFill>
    </fill>
    <fill>
      <patternFill patternType="solid">
        <fgColor rgb="FFF5F587"/>
      </patternFill>
    </fill>
    <fill>
      <patternFill patternType="solid">
        <fgColor rgb="FF1F4E78"/>
      </patternFill>
    </fill>
    <fill>
      <patternFill patternType="solid">
        <fgColor rgb="FFFFF2CC"/>
      </patternFill>
    </fill>
    <fill>
      <patternFill patternType="solid">
        <fgColor rgb="FFEAF2F8"/>
      </patternFill>
    </fill>
  </fills>
  <borders count="13">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2">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vertical="top" wrapText="1"/>
    </xf>
    <xf numFmtId="164" fontId="0" fillId="0" borderId="0" xfId="0" applyNumberFormat="1" applyAlignment="1">
      <alignment vertical="top" wrapText="1"/>
    </xf>
    <xf numFmtId="0" fontId="4" fillId="4"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vertical="top" wrapText="1"/>
    </xf>
    <xf numFmtId="0" fontId="5" fillId="6" borderId="0" xfId="0" applyFont="1" applyFill="1" applyAlignment="1">
      <alignment horizontal="center" wrapText="1"/>
    </xf>
    <xf numFmtId="0" fontId="5" fillId="3" borderId="0" xfId="0" applyFont="1" applyFill="1" applyAlignment="1">
      <alignment horizontal="center" wrapText="1"/>
    </xf>
    <xf numFmtId="0" fontId="0" fillId="8" borderId="0" xfId="0" applyFill="1" applyAlignment="1">
      <alignment vertical="top" wrapText="1"/>
    </xf>
    <xf numFmtId="164" fontId="0" fillId="0" borderId="0" xfId="0" applyNumberFormat="1" applyAlignment="1">
      <alignment wrapText="1"/>
    </xf>
    <xf numFmtId="0" fontId="0" fillId="0" borderId="1" xfId="0" applyBorder="1"/>
    <xf numFmtId="0" fontId="1" fillId="9" borderId="1" xfId="0" applyFont="1" applyFill="1" applyBorder="1"/>
    <xf numFmtId="0" fontId="1" fillId="9" borderId="0" xfId="0" applyFont="1" applyFill="1" applyAlignment="1">
      <alignment horizontal="center" vertical="center" wrapText="1"/>
    </xf>
    <xf numFmtId="0" fontId="4" fillId="11" borderId="0" xfId="0" applyFont="1" applyFill="1" applyAlignment="1">
      <alignment wrapText="1"/>
    </xf>
    <xf numFmtId="0" fontId="0" fillId="12" borderId="0" xfId="0" applyFill="1" applyAlignment="1">
      <alignment wrapText="1"/>
    </xf>
    <xf numFmtId="0" fontId="0" fillId="0" borderId="0" xfId="0" applyAlignment="1">
      <alignment vertical="center" wrapText="1"/>
    </xf>
    <xf numFmtId="0" fontId="4" fillId="11" borderId="0" xfId="0" applyFont="1" applyFill="1" applyAlignment="1">
      <alignment vertical="center" wrapText="1"/>
    </xf>
    <xf numFmtId="165" fontId="0" fillId="0" borderId="0" xfId="0" applyNumberFormat="1" applyAlignment="1">
      <alignment vertical="center" wrapText="1"/>
    </xf>
    <xf numFmtId="165" fontId="4" fillId="11" borderId="0" xfId="0" applyNumberFormat="1" applyFont="1" applyFill="1" applyAlignment="1">
      <alignment vertical="center" wrapText="1"/>
    </xf>
    <xf numFmtId="1" fontId="0" fillId="0" borderId="0" xfId="0" applyNumberFormat="1" applyAlignment="1">
      <alignment vertical="center" wrapText="1"/>
    </xf>
    <xf numFmtId="1" fontId="4" fillId="11" borderId="0" xfId="0" applyNumberFormat="1" applyFont="1" applyFill="1" applyAlignment="1">
      <alignment vertical="center" wrapText="1"/>
    </xf>
    <xf numFmtId="0" fontId="0" fillId="0" borderId="6" xfId="0" applyBorder="1"/>
    <xf numFmtId="0" fontId="0" fillId="0" borderId="7" xfId="0" applyBorder="1"/>
    <xf numFmtId="0" fontId="1" fillId="9" borderId="6" xfId="0" applyFont="1" applyFill="1" applyBorder="1"/>
    <xf numFmtId="0" fontId="1" fillId="9" borderId="7" xfId="0" applyFont="1" applyFill="1" applyBorder="1"/>
    <xf numFmtId="0" fontId="0" fillId="0" borderId="8" xfId="0" applyBorder="1"/>
    <xf numFmtId="0" fontId="5" fillId="13" borderId="9" xfId="0" applyFont="1" applyFill="1" applyBorder="1" applyAlignment="1">
      <alignment horizontal="center"/>
    </xf>
    <xf numFmtId="165" fontId="0" fillId="0" borderId="9" xfId="0" applyNumberFormat="1" applyBorder="1"/>
    <xf numFmtId="0" fontId="0" fillId="15" borderId="0" xfId="0" applyFill="1" applyAlignment="1">
      <alignment wrapText="1"/>
    </xf>
    <xf numFmtId="1" fontId="4" fillId="16" borderId="2" xfId="0" applyNumberFormat="1" applyFont="1" applyFill="1" applyBorder="1" applyAlignment="1">
      <alignment horizontal="center" vertical="center" wrapText="1"/>
    </xf>
    <xf numFmtId="0" fontId="8" fillId="0" borderId="0" xfId="0" applyFont="1" applyAlignment="1">
      <alignment horizontal="center" vertical="center" wrapText="1"/>
    </xf>
    <xf numFmtId="0" fontId="0" fillId="16" borderId="0" xfId="0" applyFill="1"/>
    <xf numFmtId="0" fontId="10" fillId="15" borderId="0" xfId="0" applyFont="1" applyFill="1" applyAlignment="1">
      <alignment vertical="center" wrapText="1"/>
    </xf>
    <xf numFmtId="0" fontId="1" fillId="17" borderId="0" xfId="0" applyFont="1" applyFill="1" applyAlignment="1">
      <alignment horizontal="center" vertical="center"/>
    </xf>
    <xf numFmtId="0" fontId="11" fillId="18" borderId="0" xfId="0" applyFont="1" applyFill="1" applyAlignment="1">
      <alignment horizontal="center" vertical="center"/>
    </xf>
    <xf numFmtId="0" fontId="6" fillId="10" borderId="0" xfId="0" applyFont="1" applyFill="1" applyAlignment="1">
      <alignment horizontal="center" vertical="center"/>
    </xf>
    <xf numFmtId="0" fontId="0" fillId="0" borderId="0" xfId="0"/>
    <xf numFmtId="0" fontId="7" fillId="14" borderId="3" xfId="0" applyFont="1" applyFill="1" applyBorder="1" applyAlignment="1">
      <alignment horizontal="center"/>
    </xf>
    <xf numFmtId="0" fontId="0" fillId="0" borderId="4" xfId="0" applyBorder="1"/>
    <xf numFmtId="0" fontId="0" fillId="0" borderId="5" xfId="0" applyBorder="1"/>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12" xfId="0" applyBorder="1" applyAlignment="1">
      <alignment horizontal="center" vertical="center" wrapText="1"/>
    </xf>
    <xf numFmtId="0" fontId="0" fillId="0" borderId="10" xfId="0" applyBorder="1" applyAlignment="1">
      <alignment horizontal="center" vertical="center" wrapText="1"/>
    </xf>
    <xf numFmtId="0" fontId="9" fillId="12" borderId="6" xfId="0" applyFont="1" applyFill="1" applyBorder="1" applyAlignment="1">
      <alignment horizontal="center" vertical="center" wrapText="1"/>
    </xf>
    <xf numFmtId="0" fontId="9" fillId="12" borderId="0" xfId="0" applyFont="1" applyFill="1" applyAlignment="1">
      <alignment horizontal="center" vertical="center" wrapText="1"/>
    </xf>
    <xf numFmtId="0" fontId="12" fillId="19" borderId="6" xfId="0" applyFont="1" applyFill="1" applyBorder="1" applyAlignment="1">
      <alignment horizontal="center" vertical="center" wrapText="1"/>
    </xf>
    <xf numFmtId="0" fontId="12" fillId="19" borderId="0" xfId="0" applyFont="1" applyFill="1" applyAlignment="1">
      <alignment horizontal="center" vertical="center" wrapText="1"/>
    </xf>
    <xf numFmtId="0" fontId="9" fillId="12" borderId="1" xfId="0" applyFont="1" applyFill="1" applyBorder="1" applyAlignment="1">
      <alignment horizontal="center" vertical="center" wrapText="1"/>
    </xf>
    <xf numFmtId="0" fontId="7" fillId="14" borderId="0" xfId="0" applyFont="1" applyFill="1" applyAlignment="1">
      <alignment horizontal="center"/>
    </xf>
    <xf numFmtId="0" fontId="0" fillId="0" borderId="0" xfId="0" applyAlignment="1">
      <alignment wrapText="1"/>
    </xf>
    <xf numFmtId="0" fontId="0" fillId="6" borderId="0" xfId="0" applyFill="1" applyAlignment="1">
      <alignment vertical="top" wrapText="1"/>
    </xf>
    <xf numFmtId="0" fontId="0" fillId="7" borderId="0" xfId="0" applyFill="1" applyAlignment="1">
      <alignment vertical="top" wrapText="1"/>
    </xf>
    <xf numFmtId="0" fontId="0" fillId="5" borderId="0" xfId="0" applyFill="1" applyAlignment="1">
      <alignment vertical="top" wrapText="1"/>
    </xf>
    <xf numFmtId="0" fontId="0" fillId="3" borderId="0" xfId="0" applyFill="1" applyAlignment="1">
      <alignment vertical="top" wrapText="1"/>
    </xf>
    <xf numFmtId="0" fontId="2" fillId="2" borderId="0" xfId="0" applyFont="1" applyFill="1" applyAlignment="1">
      <alignment horizontal="center" vertical="center" wrapText="1"/>
    </xf>
    <xf numFmtId="0" fontId="3" fillId="3" borderId="0" xfId="0" applyFont="1" applyFill="1" applyAlignment="1">
      <alignment horizontal="center" wrapText="1"/>
    </xf>
    <xf numFmtId="0" fontId="4" fillId="5" borderId="0" xfId="0" applyFont="1" applyFill="1" applyAlignment="1">
      <alignment wrapText="1"/>
    </xf>
    <xf numFmtId="0" fontId="2" fillId="2" borderId="0" xfId="0" applyFont="1" applyFill="1" applyAlignment="1">
      <alignment horizontal="center"/>
    </xf>
  </cellXfs>
  <cellStyles count="1">
    <cellStyle name="Normal" xfId="0" builtinId="0"/>
  </cellStyles>
  <dxfs count="17">
    <dxf>
      <font>
        <b/>
        <color rgb="FF991B1B"/>
      </font>
      <fill>
        <patternFill>
          <bgColor rgb="FFFECACA"/>
        </patternFill>
      </fill>
    </dxf>
    <dxf>
      <font>
        <b/>
        <color rgb="FF9A3412"/>
      </font>
      <fill>
        <patternFill>
          <bgColor rgb="FFFED7AA"/>
        </patternFill>
      </fill>
    </dxf>
    <dxf>
      <font>
        <color rgb="FF166534"/>
      </font>
      <fill>
        <patternFill>
          <bgColor rgb="FFDCFCE7"/>
        </patternFill>
      </fill>
    </dxf>
    <dxf>
      <font>
        <b/>
        <color rgb="FF166534"/>
      </font>
      <fill>
        <patternFill>
          <bgColor rgb="FFBBF7D0"/>
        </patternFill>
      </fill>
    </dxf>
    <dxf>
      <font>
        <b/>
        <color rgb="FF9C6500"/>
      </font>
      <fill>
        <patternFill patternType="solid">
          <bgColor rgb="FFFFEB9C"/>
        </patternFill>
      </fill>
    </dxf>
    <dxf>
      <font>
        <b/>
        <color rgb="FF006100"/>
      </font>
      <fill>
        <patternFill patternType="solid">
          <bgColor rgb="FFC6EFCE"/>
        </patternFill>
      </fill>
    </dxf>
    <dxf>
      <font>
        <b/>
        <color rgb="FF9C0006"/>
      </font>
      <fill>
        <patternFill patternType="solid">
          <bgColor rgb="FFFFC7CE"/>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2400E"/>
      </font>
      <fill>
        <patternFill>
          <bgColor rgb="FFFEF3C7"/>
        </patternFill>
      </fill>
    </dxf>
    <dxf>
      <font>
        <b/>
        <color rgb="FF991B1B"/>
      </font>
      <fill>
        <patternFill>
          <bgColor rgb="FFFECACA"/>
        </patternFill>
      </fill>
    </dxf>
    <dxf>
      <font>
        <b/>
        <color rgb="FF166534"/>
      </font>
      <fill>
        <patternFill>
          <bgColor rgb="FFDCFCE7"/>
        </patternFill>
      </fill>
    </dxf>
    <dxf>
      <font>
        <b/>
        <color rgb="FF991B1B"/>
      </font>
      <fill>
        <patternFill>
          <bgColor rgb="FFFECACA"/>
        </patternFill>
      </fill>
    </dxf>
    <dxf>
      <font>
        <b/>
        <color rgb="FF9A3412"/>
      </font>
      <fill>
        <patternFill>
          <bgColor rgb="FFFED7AA"/>
        </patternFill>
      </fill>
    </dxf>
    <dxf>
      <font>
        <color rgb="FF166534"/>
      </font>
      <fill>
        <patternFill>
          <bgColor rgb="FFDCFCE7"/>
        </patternFill>
      </fill>
    </dxf>
    <dxf>
      <font>
        <b/>
        <color rgb="FF166534"/>
      </font>
      <fill>
        <patternFill>
          <bgColor rgb="FFBBF7D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Overall Rating</c:v>
          </c:tx>
          <c:invertIfNegative val="1"/>
          <c:cat>
            <c:strRef>
              <c:f>'Model Summary'!$B$7:$B$18</c:f>
              <c:strCache>
                <c:ptCount val="12"/>
                <c:pt idx="0">
                  <c:v>Scottie Scheffler</c:v>
                </c:pt>
                <c:pt idx="1">
                  <c:v>Cameron Young</c:v>
                </c:pt>
                <c:pt idx="2">
                  <c:v>Matt Fitzpatrick</c:v>
                </c:pt>
                <c:pt idx="3">
                  <c:v>Xander Schauffele</c:v>
                </c:pt>
                <c:pt idx="4">
                  <c:v>Rory McIlroy</c:v>
                </c:pt>
                <c:pt idx="5">
                  <c:v>Jon Rahm</c:v>
                </c:pt>
                <c:pt idx="6">
                  <c:v>Collin Morikawa</c:v>
                </c:pt>
                <c:pt idx="7">
                  <c:v>Tommy Fleetwood</c:v>
                </c:pt>
                <c:pt idx="8">
                  <c:v>Tyrrell Hatton</c:v>
                </c:pt>
                <c:pt idx="9">
                  <c:v>Justin Rose</c:v>
                </c:pt>
                <c:pt idx="10">
                  <c:v>Brooks Koepka</c:v>
                </c:pt>
                <c:pt idx="11">
                  <c:v>Ludvig Åberg</c:v>
                </c:pt>
              </c:strCache>
            </c:strRef>
          </c:cat>
          <c:val>
            <c:numRef>
              <c:f>'Model Summary'!$C$7:$C$18</c:f>
              <c:numCache>
                <c:formatCode>0.0</c:formatCode>
                <c:ptCount val="12"/>
                <c:pt idx="0">
                  <c:v>90.6</c:v>
                </c:pt>
                <c:pt idx="1">
                  <c:v>87.3</c:v>
                </c:pt>
                <c:pt idx="2">
                  <c:v>87.2</c:v>
                </c:pt>
                <c:pt idx="3">
                  <c:v>86.8</c:v>
                </c:pt>
                <c:pt idx="4">
                  <c:v>85.3</c:v>
                </c:pt>
                <c:pt idx="5">
                  <c:v>82.3</c:v>
                </c:pt>
                <c:pt idx="6">
                  <c:v>81.900000000000006</c:v>
                </c:pt>
                <c:pt idx="7">
                  <c:v>81.2</c:v>
                </c:pt>
                <c:pt idx="8">
                  <c:v>81.2</c:v>
                </c:pt>
                <c:pt idx="9">
                  <c:v>80.5</c:v>
                </c:pt>
                <c:pt idx="10">
                  <c:v>80.2</c:v>
                </c:pt>
                <c:pt idx="11">
                  <c:v>79.900000000000006</c:v>
                </c:pt>
              </c:numCache>
            </c:numRef>
          </c:val>
          <c:extLst>
            <c:ext xmlns:c16="http://schemas.microsoft.com/office/drawing/2014/chart" uri="{C3380CC4-5D6E-409C-BE32-E72D297353CC}">
              <c16:uniqueId val="{00000000-19EE-4010-ACAE-D3F64CB2071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0</xdr:colOff>
      <xdr:row>20</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SOpenContenders" displayName="USOpenContenders" ref="A1:X39">
  <tableColumns count="24">
    <tableColumn id="1" xr3:uid="{00000000-0010-0000-0000-000001000000}" name="Player"/>
    <tableColumn id="2" xr3:uid="{00000000-0010-0000-0000-000002000000}" name="Tour"/>
    <tableColumn id="3" xr3:uid="{00000000-0010-0000-0000-000003000000}" name="Custom Tier"/>
    <tableColumn id="4" xr3:uid="{00000000-0010-0000-0000-000004000000}" name="Odds / Market Note"/>
    <tableColumn id="5" xr3:uid="{00000000-0010-0000-0000-000005000000}" name="Current Form"/>
    <tableColumn id="6" xr3:uid="{00000000-0010-0000-0000-000006000000}" name="US Open Fit"/>
    <tableColumn id="7" xr3:uid="{00000000-0010-0000-0000-000007000000}" name="Shinnecock / Comp"/>
    <tableColumn id="8" xr3:uid="{00000000-0010-0000-0000-000008000000}" name="Cut Safety"/>
    <tableColumn id="9" xr3:uid="{00000000-0010-0000-0000-000009000000}" name="Upside"/>
    <tableColumn id="10" xr3:uid="{00000000-0010-0000-0000-00000A000000}" name="Volatility Risk"/>
    <tableColumn id="11" xr3:uid="{00000000-0010-0000-0000-00000B000000}" name="Overall Rating"/>
    <tableColumn id="12" xr3:uid="{00000000-0010-0000-0000-00000C000000}" name="Win Grade"/>
    <tableColumn id="13" xr3:uid="{00000000-0010-0000-0000-00000D000000}" name="Pool Action"/>
    <tableColumn id="14" xr3:uid="{00000000-0010-0000-0000-00000E000000}" name="Projected Score Range"/>
    <tableColumn id="15" xr3:uid="{00000000-0010-0000-0000-00000F000000}" name="Masters 2026"/>
    <tableColumn id="16" xr3:uid="{00000000-0010-0000-0000-000010000000}" name="PGA 2026"/>
    <tableColumn id="17" xr3:uid="{00000000-0010-0000-0000-000011000000}" name="Recent MC / Concern"/>
    <tableColumn id="18" xr3:uid="{00000000-0010-0000-0000-000012000000}" name="Shinnecock / US Open History"/>
    <tableColumn id="19" xr3:uid="{00000000-0010-0000-0000-000013000000}" name="Key Stats / Fit Signals"/>
    <tableColumn id="20" xr3:uid="{00000000-0010-0000-0000-000014000000}" name="Why He Can Win"/>
    <tableColumn id="21" xr3:uid="{00000000-0010-0000-0000-000015000000}" name="Red Flags"/>
    <tableColumn id="22" xr3:uid="{00000000-0010-0000-0000-000016000000}" name="Outside / LIV / Creator Notes"/>
    <tableColumn id="23" xr3:uid="{00000000-0010-0000-0000-000017000000}" name="Source URL 1"/>
    <tableColumn id="24" xr3:uid="{00000000-0010-0000-0000-000018000000}" name="Source UR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opBoard" displayName="TopBoard" ref="A6:H26">
  <tableColumns count="8">
    <tableColumn id="1" xr3:uid="{00000000-0010-0000-0100-000001000000}" name="Rank"/>
    <tableColumn id="2" xr3:uid="{00000000-0010-0000-0100-000002000000}" name="Player"/>
    <tableColumn id="3" xr3:uid="{00000000-0010-0000-0100-000003000000}" name="Rating"/>
    <tableColumn id="4" xr3:uid="{00000000-0010-0000-0100-000004000000}" name="Grade"/>
    <tableColumn id="5" xr3:uid="{00000000-0010-0000-0100-000005000000}" name="Pool Action"/>
    <tableColumn id="6" xr3:uid="{00000000-0010-0000-0100-000006000000}" name="Projected Score"/>
    <tableColumn id="7" xr3:uid="{00000000-0010-0000-0100-000007000000}" name="Main Green Flag"/>
    <tableColumn id="8" xr3:uid="{00000000-0010-0000-0100-000008000000}" name="Main Red Fla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List" displayName="SourceList" ref="A9:C23">
  <tableColumns count="3">
    <tableColumn id="1" xr3:uid="{00000000-0010-0000-0200-000001000000}" name="Source"/>
    <tableColumn id="2" xr3:uid="{00000000-0010-0000-0200-000002000000}" name="URL"/>
    <tableColumn id="3" xr3:uid="{00000000-0010-0000-0200-000003000000}" name="Used F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inalPicksTracker" displayName="FinalPicksTracker" ref="A9:O16">
  <tableColumns count="15">
    <tableColumn id="1" xr3:uid="{00000000-0010-0000-0300-000001000000}" name="Tier"/>
    <tableColumn id="2" xr3:uid="{00000000-0010-0000-0300-000002000000}" name="Player"/>
    <tableColumn id="3" xr3:uid="{00000000-0010-0000-0300-000003000000}" name="R1"/>
    <tableColumn id="4" xr3:uid="{00000000-0010-0000-0300-000004000000}" name="R2"/>
    <tableColumn id="5" xr3:uid="{00000000-0010-0000-0300-000005000000}" name="R3"/>
    <tableColumn id="6" xr3:uid="{00000000-0010-0000-0300-000006000000}" name="R4"/>
    <tableColumn id="7" xr3:uid="{00000000-0010-0000-0300-000007000000}" name="Rounds In"/>
    <tableColumn id="8" xr3:uid="{00000000-0010-0000-0300-000008000000}" name="Live Total"/>
    <tableColumn id="9" xr3:uid="{00000000-0010-0000-0300-000009000000}" name="Live +/-"/>
    <tableColumn id="10" xr3:uid="{00000000-0010-0000-0300-00000A000000}" name="Cut Watch"/>
    <tableColumn id="11" xr3:uid="{00000000-0010-0000-0300-00000B000000}" name="R1 Read"/>
    <tableColumn id="12" xr3:uid="{00000000-0010-0000-0300-00000C000000}" name="R2 Read"/>
    <tableColumn id="13" xr3:uid="{00000000-0010-0000-0300-00000D000000}" name="R3 Read"/>
    <tableColumn id="14" xr3:uid="{00000000-0010-0000-0300-00000E000000}" name="R4 Read"/>
    <tableColumn id="15" xr3:uid="{00000000-0010-0000-0300-00000F000000}" name="Manual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oreRules" displayName="ScoreRules" ref="A1:G18">
  <tableColumns count="7">
    <tableColumn id="1" xr3:uid="{00000000-0010-0000-0400-000001000000}" name="Player"/>
    <tableColumn id="2" xr3:uid="{00000000-0010-0000-0400-000002000000}" name="Tier"/>
    <tableColumn id="3" xr3:uid="{00000000-0010-0000-0400-000003000000}" name="Expected Round"/>
    <tableColumn id="4" xr3:uid="{00000000-0010-0000-0400-000004000000}" name="Realistic High"/>
    <tableColumn id="5" xr3:uid="{00000000-0010-0000-0400-000005000000}" name="Surprising High"/>
    <tableColumn id="6" xr3:uid="{00000000-0010-0000-0400-000006000000}" name="Very Surprising At"/>
    <tableColumn id="7" xr3:uid="{00000000-0010-0000-0400-000007000000}" name="Course Fit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0"/>
  <sheetViews>
    <sheetView topLeftCell="A38" workbookViewId="0">
      <selection activeCell="B6" sqref="B6"/>
    </sheetView>
  </sheetViews>
  <sheetFormatPr defaultRowHeight="14"/>
  <cols>
    <col min="1" max="1" width="16.1640625" customWidth="1"/>
    <col min="2" max="2" width="6.4140625" customWidth="1"/>
    <col min="3" max="3" width="20.75" customWidth="1"/>
    <col min="4" max="4" width="23.4140625" customWidth="1"/>
    <col min="5" max="5" width="13.1640625" customWidth="1"/>
    <col min="6" max="6" width="12" customWidth="1"/>
    <col min="7" max="7" width="17.6640625" customWidth="1"/>
    <col min="8" max="8" width="10.75" customWidth="1"/>
    <col min="9" max="9" width="8.4140625" customWidth="1"/>
    <col min="10" max="10" width="13.4140625" customWidth="1"/>
    <col min="11" max="11" width="13.75" customWidth="1"/>
    <col min="12" max="12" width="11.1640625" customWidth="1"/>
    <col min="13" max="13" width="24.25" customWidth="1"/>
    <col min="14" max="14" width="20" customWidth="1"/>
    <col min="15" max="15" width="31.5" customWidth="1"/>
    <col min="16" max="16" width="30.6640625" customWidth="1"/>
    <col min="17" max="17" width="61.9140625" customWidth="1"/>
    <col min="18" max="18" width="69.5" customWidth="1"/>
    <col min="19" max="19" width="74.1640625" customWidth="1"/>
    <col min="20" max="20" width="85" customWidth="1"/>
    <col min="21" max="21" width="71" customWidth="1"/>
    <col min="22" max="22" width="44.75" customWidth="1"/>
    <col min="23" max="23" width="100.4140625" customWidth="1"/>
    <col min="24" max="24" width="94.4140625" customWidth="1"/>
  </cols>
  <sheetData>
    <row r="1" spans="1:24" ht="8.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ht="28">
      <c r="A2" s="4" t="s">
        <v>24</v>
      </c>
      <c r="B2" s="4" t="s">
        <v>25</v>
      </c>
      <c r="C2" s="4" t="s">
        <v>26</v>
      </c>
      <c r="D2" s="4" t="s">
        <v>27</v>
      </c>
      <c r="E2" s="5">
        <v>9.1999999999999993</v>
      </c>
      <c r="F2" s="5">
        <v>9.6</v>
      </c>
      <c r="G2" s="5">
        <v>7.5</v>
      </c>
      <c r="H2" s="5">
        <v>9.4</v>
      </c>
      <c r="I2" s="5">
        <v>9.5</v>
      </c>
      <c r="J2" s="5">
        <v>2</v>
      </c>
      <c r="K2" s="5">
        <f t="shared" ref="K2:K39" si="0">IF(A2="","",ROUND((E2*0.25+F2*0.25+G2*0.15+H2*0.15+I2*0.15+(10-J2)*0.05)*10,1))</f>
        <v>90.6</v>
      </c>
      <c r="L2" s="4" t="s">
        <v>28</v>
      </c>
      <c r="M2" s="4" t="s">
        <v>29</v>
      </c>
      <c r="N2" s="4" t="s">
        <v>30</v>
      </c>
      <c r="O2" s="4" t="s">
        <v>31</v>
      </c>
      <c r="P2" s="4" t="s">
        <v>32</v>
      </c>
      <c r="Q2" s="4" t="s">
        <v>33</v>
      </c>
      <c r="R2" s="4" t="s">
        <v>34</v>
      </c>
      <c r="S2" s="4" t="s">
        <v>35</v>
      </c>
      <c r="T2" s="4" t="s">
        <v>36</v>
      </c>
      <c r="U2" s="4" t="s">
        <v>37</v>
      </c>
      <c r="V2" s="4" t="s">
        <v>38</v>
      </c>
      <c r="W2" s="4" t="s">
        <v>39</v>
      </c>
      <c r="X2" s="4" t="s">
        <v>40</v>
      </c>
    </row>
    <row r="3" spans="1:24" ht="28">
      <c r="A3" s="4" t="s">
        <v>41</v>
      </c>
      <c r="B3" s="4" t="s">
        <v>25</v>
      </c>
      <c r="C3" s="4" t="s">
        <v>26</v>
      </c>
      <c r="D3" s="4" t="s">
        <v>42</v>
      </c>
      <c r="E3" s="5">
        <v>9</v>
      </c>
      <c r="F3" s="5">
        <v>8.6</v>
      </c>
      <c r="G3" s="5">
        <v>7</v>
      </c>
      <c r="H3" s="5">
        <v>8.8000000000000007</v>
      </c>
      <c r="I3" s="5">
        <v>9.4</v>
      </c>
      <c r="J3" s="5">
        <v>3</v>
      </c>
      <c r="K3" s="5">
        <f t="shared" si="0"/>
        <v>85.3</v>
      </c>
      <c r="L3" s="4" t="s">
        <v>43</v>
      </c>
      <c r="M3" s="4" t="s">
        <v>44</v>
      </c>
      <c r="N3" s="4" t="s">
        <v>45</v>
      </c>
      <c r="O3" s="4" t="s">
        <v>46</v>
      </c>
      <c r="P3" s="4" t="s">
        <v>47</v>
      </c>
      <c r="Q3" s="4" t="s">
        <v>48</v>
      </c>
      <c r="R3" s="4" t="s">
        <v>49</v>
      </c>
      <c r="S3" s="4" t="s">
        <v>50</v>
      </c>
      <c r="T3" s="4" t="s">
        <v>51</v>
      </c>
      <c r="U3" s="4" t="s">
        <v>52</v>
      </c>
      <c r="V3" s="4" t="s">
        <v>53</v>
      </c>
      <c r="W3" s="4" t="s">
        <v>54</v>
      </c>
      <c r="X3" s="4" t="s">
        <v>55</v>
      </c>
    </row>
    <row r="4" spans="1:24">
      <c r="A4" s="4" t="s">
        <v>56</v>
      </c>
      <c r="B4" s="4" t="s">
        <v>57</v>
      </c>
      <c r="C4" s="4" t="s">
        <v>58</v>
      </c>
      <c r="D4" s="4" t="s">
        <v>59</v>
      </c>
      <c r="E4" s="5">
        <v>8.1</v>
      </c>
      <c r="F4" s="5">
        <v>9</v>
      </c>
      <c r="G4" s="5">
        <v>7.2</v>
      </c>
      <c r="H4" s="5">
        <v>8</v>
      </c>
      <c r="I4" s="5">
        <v>9</v>
      </c>
      <c r="J4" s="5">
        <v>3.5</v>
      </c>
      <c r="K4" s="5">
        <f t="shared" si="0"/>
        <v>82.3</v>
      </c>
      <c r="L4" s="4" t="s">
        <v>60</v>
      </c>
      <c r="M4" s="4" t="s">
        <v>61</v>
      </c>
      <c r="N4" s="4" t="s">
        <v>62</v>
      </c>
      <c r="O4" s="4" t="s">
        <v>63</v>
      </c>
      <c r="P4" s="4" t="s">
        <v>64</v>
      </c>
      <c r="Q4" s="4" t="s">
        <v>65</v>
      </c>
      <c r="R4" s="4" t="s">
        <v>66</v>
      </c>
      <c r="S4" s="4" t="s">
        <v>67</v>
      </c>
      <c r="T4" s="4" t="s">
        <v>68</v>
      </c>
      <c r="U4" s="4" t="s">
        <v>69</v>
      </c>
      <c r="V4" s="4" t="s">
        <v>70</v>
      </c>
      <c r="W4" s="4" t="s">
        <v>71</v>
      </c>
      <c r="X4" s="4" t="s">
        <v>55</v>
      </c>
    </row>
    <row r="5" spans="1:24" ht="28">
      <c r="A5" s="4" t="s">
        <v>72</v>
      </c>
      <c r="B5" s="4" t="s">
        <v>25</v>
      </c>
      <c r="C5" s="4" t="s">
        <v>73</v>
      </c>
      <c r="D5" s="4" t="s">
        <v>74</v>
      </c>
      <c r="E5" s="5">
        <v>9.4</v>
      </c>
      <c r="F5" s="5">
        <v>8.6999999999999993</v>
      </c>
      <c r="G5" s="5">
        <v>8</v>
      </c>
      <c r="H5" s="5">
        <v>8.3000000000000007</v>
      </c>
      <c r="I5" s="5">
        <v>9.6999999999999993</v>
      </c>
      <c r="J5" s="5">
        <v>4</v>
      </c>
      <c r="K5" s="5">
        <f t="shared" si="0"/>
        <v>87.3</v>
      </c>
      <c r="L5" s="4" t="s">
        <v>43</v>
      </c>
      <c r="M5" s="4" t="s">
        <v>75</v>
      </c>
      <c r="N5" s="4" t="s">
        <v>76</v>
      </c>
      <c r="O5" s="4" t="s">
        <v>77</v>
      </c>
      <c r="P5" s="4" t="s">
        <v>78</v>
      </c>
      <c r="Q5" s="4" t="s">
        <v>79</v>
      </c>
      <c r="R5" s="4" t="s">
        <v>80</v>
      </c>
      <c r="S5" s="4" t="s">
        <v>81</v>
      </c>
      <c r="T5" s="4" t="s">
        <v>82</v>
      </c>
      <c r="U5" s="4" t="s">
        <v>83</v>
      </c>
      <c r="V5" s="4" t="s">
        <v>84</v>
      </c>
      <c r="W5" s="4" t="s">
        <v>85</v>
      </c>
      <c r="X5" s="4" t="s">
        <v>86</v>
      </c>
    </row>
    <row r="6" spans="1:24" ht="28">
      <c r="A6" s="4" t="s">
        <v>87</v>
      </c>
      <c r="B6" s="4" t="s">
        <v>25</v>
      </c>
      <c r="C6" s="4" t="s">
        <v>88</v>
      </c>
      <c r="D6" s="4" t="s">
        <v>74</v>
      </c>
      <c r="E6" s="5">
        <v>8</v>
      </c>
      <c r="F6" s="5">
        <v>9.1999999999999993</v>
      </c>
      <c r="G6" s="5">
        <v>9</v>
      </c>
      <c r="H6" s="5">
        <v>9.3000000000000007</v>
      </c>
      <c r="I6" s="5">
        <v>8.4</v>
      </c>
      <c r="J6" s="5">
        <v>2.5</v>
      </c>
      <c r="K6" s="5">
        <f t="shared" si="0"/>
        <v>86.8</v>
      </c>
      <c r="L6" s="4" t="s">
        <v>43</v>
      </c>
      <c r="M6" s="4" t="s">
        <v>89</v>
      </c>
      <c r="N6" s="4" t="s">
        <v>62</v>
      </c>
      <c r="O6" s="4" t="s">
        <v>90</v>
      </c>
      <c r="P6" s="4" t="s">
        <v>47</v>
      </c>
      <c r="Q6" s="4" t="s">
        <v>91</v>
      </c>
      <c r="R6" s="4" t="s">
        <v>92</v>
      </c>
      <c r="S6" s="4" t="s">
        <v>93</v>
      </c>
      <c r="T6" s="4" t="s">
        <v>94</v>
      </c>
      <c r="U6" s="4" t="s">
        <v>95</v>
      </c>
      <c r="V6" s="4" t="s">
        <v>96</v>
      </c>
      <c r="W6" s="4" t="s">
        <v>97</v>
      </c>
      <c r="X6" s="4" t="s">
        <v>55</v>
      </c>
    </row>
    <row r="7" spans="1:24" ht="28">
      <c r="A7" s="4" t="s">
        <v>98</v>
      </c>
      <c r="B7" s="4" t="s">
        <v>25</v>
      </c>
      <c r="C7" s="4" t="s">
        <v>99</v>
      </c>
      <c r="D7" s="4" t="s">
        <v>100</v>
      </c>
      <c r="E7" s="5">
        <v>9</v>
      </c>
      <c r="F7" s="5">
        <v>9.1</v>
      </c>
      <c r="G7" s="5">
        <v>8.6</v>
      </c>
      <c r="H7" s="5">
        <v>8.4</v>
      </c>
      <c r="I7" s="5">
        <v>8.6</v>
      </c>
      <c r="J7" s="5">
        <v>3</v>
      </c>
      <c r="K7" s="5">
        <f t="shared" si="0"/>
        <v>87.2</v>
      </c>
      <c r="L7" s="4" t="s">
        <v>43</v>
      </c>
      <c r="M7" s="4" t="s">
        <v>101</v>
      </c>
      <c r="N7" s="4" t="s">
        <v>102</v>
      </c>
      <c r="O7" s="4" t="s">
        <v>103</v>
      </c>
      <c r="P7" s="4" t="s">
        <v>104</v>
      </c>
      <c r="Q7" s="4" t="s">
        <v>105</v>
      </c>
      <c r="R7" s="4" t="s">
        <v>106</v>
      </c>
      <c r="S7" s="4" t="s">
        <v>107</v>
      </c>
      <c r="T7" s="4" t="s">
        <v>108</v>
      </c>
      <c r="U7" s="4" t="s">
        <v>109</v>
      </c>
      <c r="V7" s="4" t="s">
        <v>110</v>
      </c>
      <c r="W7" s="4" t="s">
        <v>97</v>
      </c>
      <c r="X7" s="4" t="s">
        <v>39</v>
      </c>
    </row>
    <row r="8" spans="1:24">
      <c r="A8" s="4" t="s">
        <v>111</v>
      </c>
      <c r="B8" s="4" t="s">
        <v>25</v>
      </c>
      <c r="C8" s="4" t="s">
        <v>112</v>
      </c>
      <c r="D8" s="4" t="s">
        <v>113</v>
      </c>
      <c r="E8" s="5">
        <v>7.7</v>
      </c>
      <c r="F8" s="5">
        <v>9.3000000000000007</v>
      </c>
      <c r="G8" s="5">
        <v>7.2</v>
      </c>
      <c r="H8" s="5">
        <v>8.5</v>
      </c>
      <c r="I8" s="5">
        <v>8.1999999999999993</v>
      </c>
      <c r="J8" s="5">
        <v>3</v>
      </c>
      <c r="K8" s="5">
        <f t="shared" si="0"/>
        <v>81.900000000000006</v>
      </c>
      <c r="L8" s="4" t="s">
        <v>60</v>
      </c>
      <c r="M8" s="4" t="s">
        <v>114</v>
      </c>
      <c r="N8" s="4" t="s">
        <v>115</v>
      </c>
      <c r="O8" s="4" t="s">
        <v>103</v>
      </c>
      <c r="P8" s="4" t="s">
        <v>103</v>
      </c>
      <c r="Q8" s="4" t="s">
        <v>116</v>
      </c>
      <c r="R8" s="4" t="s">
        <v>117</v>
      </c>
      <c r="S8" s="4" t="s">
        <v>118</v>
      </c>
      <c r="T8" s="4" t="s">
        <v>119</v>
      </c>
      <c r="U8" s="4" t="s">
        <v>120</v>
      </c>
      <c r="V8" s="4" t="s">
        <v>121</v>
      </c>
      <c r="W8" s="4" t="s">
        <v>39</v>
      </c>
      <c r="X8" s="4" t="s">
        <v>122</v>
      </c>
    </row>
    <row r="9" spans="1:24" ht="28">
      <c r="A9" s="4" t="s">
        <v>123</v>
      </c>
      <c r="B9" s="4" t="s">
        <v>25</v>
      </c>
      <c r="C9" s="4" t="s">
        <v>112</v>
      </c>
      <c r="D9" s="4" t="s">
        <v>100</v>
      </c>
      <c r="E9" s="5">
        <v>8.1999999999999993</v>
      </c>
      <c r="F9" s="5">
        <v>8.5</v>
      </c>
      <c r="G9" s="5">
        <v>6.8</v>
      </c>
      <c r="H9" s="5">
        <v>7.8</v>
      </c>
      <c r="I9" s="5">
        <v>9</v>
      </c>
      <c r="J9" s="5">
        <v>4.5</v>
      </c>
      <c r="K9" s="5">
        <f t="shared" si="0"/>
        <v>79.900000000000006</v>
      </c>
      <c r="L9" s="4" t="s">
        <v>60</v>
      </c>
      <c r="M9" s="4" t="s">
        <v>124</v>
      </c>
      <c r="N9" s="4" t="s">
        <v>125</v>
      </c>
      <c r="O9" s="4" t="s">
        <v>103</v>
      </c>
      <c r="P9" s="4" t="s">
        <v>126</v>
      </c>
      <c r="Q9" s="4" t="s">
        <v>127</v>
      </c>
      <c r="R9" s="4" t="s">
        <v>117</v>
      </c>
      <c r="S9" s="4" t="s">
        <v>128</v>
      </c>
      <c r="T9" s="4" t="s">
        <v>129</v>
      </c>
      <c r="U9" s="4" t="s">
        <v>130</v>
      </c>
      <c r="V9" s="4" t="s">
        <v>131</v>
      </c>
      <c r="W9" s="4" t="s">
        <v>132</v>
      </c>
      <c r="X9" s="4" t="s">
        <v>133</v>
      </c>
    </row>
    <row r="10" spans="1:24" ht="28">
      <c r="A10" s="4" t="s">
        <v>134</v>
      </c>
      <c r="B10" s="4" t="s">
        <v>25</v>
      </c>
      <c r="C10" s="4" t="s">
        <v>112</v>
      </c>
      <c r="D10" s="4" t="s">
        <v>135</v>
      </c>
      <c r="E10" s="5">
        <v>7.3</v>
      </c>
      <c r="F10" s="5">
        <v>9.1999999999999993</v>
      </c>
      <c r="G10" s="5">
        <v>9.5</v>
      </c>
      <c r="H10" s="5">
        <v>7.2</v>
      </c>
      <c r="I10" s="5">
        <v>8.1</v>
      </c>
      <c r="J10" s="5">
        <v>4.5</v>
      </c>
      <c r="K10" s="5">
        <f t="shared" si="0"/>
        <v>81.2</v>
      </c>
      <c r="L10" s="4" t="s">
        <v>136</v>
      </c>
      <c r="M10" s="4" t="s">
        <v>137</v>
      </c>
      <c r="N10" s="4" t="s">
        <v>138</v>
      </c>
      <c r="O10" s="4" t="s">
        <v>139</v>
      </c>
      <c r="P10" s="4" t="s">
        <v>140</v>
      </c>
      <c r="Q10" s="4" t="s">
        <v>141</v>
      </c>
      <c r="R10" s="4" t="s">
        <v>142</v>
      </c>
      <c r="S10" s="4" t="s">
        <v>143</v>
      </c>
      <c r="T10" s="4" t="s">
        <v>144</v>
      </c>
      <c r="U10" s="4" t="s">
        <v>145</v>
      </c>
      <c r="V10" s="4" t="s">
        <v>146</v>
      </c>
      <c r="W10" s="4" t="s">
        <v>147</v>
      </c>
      <c r="X10" s="4" t="s">
        <v>148</v>
      </c>
    </row>
    <row r="11" spans="1:24" ht="28">
      <c r="A11" s="4" t="s">
        <v>149</v>
      </c>
      <c r="B11" s="4" t="s">
        <v>57</v>
      </c>
      <c r="C11" s="4" t="s">
        <v>150</v>
      </c>
      <c r="D11" s="4" t="s">
        <v>151</v>
      </c>
      <c r="E11" s="5">
        <v>6.6</v>
      </c>
      <c r="F11" s="5">
        <v>8.5</v>
      </c>
      <c r="G11" s="5">
        <v>7</v>
      </c>
      <c r="H11" s="5">
        <v>5.5</v>
      </c>
      <c r="I11" s="5">
        <v>9.8000000000000007</v>
      </c>
      <c r="J11" s="5">
        <v>8</v>
      </c>
      <c r="K11" s="5">
        <f t="shared" si="0"/>
        <v>72.2</v>
      </c>
      <c r="L11" s="4" t="s">
        <v>136</v>
      </c>
      <c r="M11" s="4" t="s">
        <v>152</v>
      </c>
      <c r="N11" s="4" t="s">
        <v>153</v>
      </c>
      <c r="O11" s="4" t="s">
        <v>154</v>
      </c>
      <c r="P11" s="4" t="s">
        <v>155</v>
      </c>
      <c r="Q11" s="4" t="s">
        <v>156</v>
      </c>
      <c r="R11" s="4" t="s">
        <v>157</v>
      </c>
      <c r="S11" s="4" t="s">
        <v>158</v>
      </c>
      <c r="T11" s="4" t="s">
        <v>159</v>
      </c>
      <c r="U11" s="4" t="s">
        <v>160</v>
      </c>
      <c r="V11" s="4" t="s">
        <v>161</v>
      </c>
      <c r="W11" s="4" t="s">
        <v>162</v>
      </c>
      <c r="X11" s="4" t="s">
        <v>163</v>
      </c>
    </row>
    <row r="12" spans="1:24">
      <c r="A12" s="4" t="s">
        <v>164</v>
      </c>
      <c r="B12" s="4" t="s">
        <v>57</v>
      </c>
      <c r="C12" s="4" t="s">
        <v>165</v>
      </c>
      <c r="D12" s="4" t="s">
        <v>166</v>
      </c>
      <c r="E12" s="5">
        <v>6.8</v>
      </c>
      <c r="F12" s="5">
        <v>8.8000000000000007</v>
      </c>
      <c r="G12" s="5">
        <v>10</v>
      </c>
      <c r="H12" s="5">
        <v>7</v>
      </c>
      <c r="I12" s="5">
        <v>9</v>
      </c>
      <c r="J12" s="5">
        <v>5.5</v>
      </c>
      <c r="K12" s="5">
        <f t="shared" si="0"/>
        <v>80.3</v>
      </c>
      <c r="L12" s="4" t="s">
        <v>136</v>
      </c>
      <c r="M12" s="4" t="s">
        <v>167</v>
      </c>
      <c r="N12" s="4" t="s">
        <v>168</v>
      </c>
      <c r="O12" s="4" t="s">
        <v>103</v>
      </c>
      <c r="P12" s="4" t="s">
        <v>169</v>
      </c>
      <c r="Q12" s="4" t="s">
        <v>170</v>
      </c>
      <c r="R12" s="4" t="s">
        <v>171</v>
      </c>
      <c r="S12" s="4" t="s">
        <v>172</v>
      </c>
      <c r="T12" s="4" t="s">
        <v>173</v>
      </c>
      <c r="U12" s="4" t="s">
        <v>174</v>
      </c>
      <c r="V12" s="4" t="s">
        <v>175</v>
      </c>
      <c r="W12" s="4" t="s">
        <v>148</v>
      </c>
      <c r="X12" s="4" t="s">
        <v>176</v>
      </c>
    </row>
    <row r="13" spans="1:24">
      <c r="A13" s="4" t="s">
        <v>177</v>
      </c>
      <c r="B13" s="4" t="s">
        <v>57</v>
      </c>
      <c r="C13" s="4" t="s">
        <v>178</v>
      </c>
      <c r="D13" s="4" t="s">
        <v>179</v>
      </c>
      <c r="E13" s="5">
        <v>8.1</v>
      </c>
      <c r="F13" s="5">
        <v>8.6999999999999993</v>
      </c>
      <c r="G13" s="5">
        <v>8.5</v>
      </c>
      <c r="H13" s="5">
        <v>7.8</v>
      </c>
      <c r="I13" s="5">
        <v>8</v>
      </c>
      <c r="J13" s="5">
        <v>4.5</v>
      </c>
      <c r="K13" s="5">
        <f t="shared" si="0"/>
        <v>81.2</v>
      </c>
      <c r="L13" s="4" t="s">
        <v>136</v>
      </c>
      <c r="M13" s="4" t="s">
        <v>180</v>
      </c>
      <c r="N13" s="4" t="s">
        <v>138</v>
      </c>
      <c r="O13" s="4" t="s">
        <v>77</v>
      </c>
      <c r="P13" s="4" t="s">
        <v>154</v>
      </c>
      <c r="Q13" s="4" t="s">
        <v>181</v>
      </c>
      <c r="R13" s="4" t="s">
        <v>182</v>
      </c>
      <c r="S13" s="4" t="s">
        <v>183</v>
      </c>
      <c r="T13" s="4" t="s">
        <v>184</v>
      </c>
      <c r="U13" s="4" t="s">
        <v>185</v>
      </c>
      <c r="V13" s="4" t="s">
        <v>186</v>
      </c>
      <c r="W13" s="4" t="s">
        <v>187</v>
      </c>
      <c r="X13" s="4" t="s">
        <v>147</v>
      </c>
    </row>
    <row r="14" spans="1:24" ht="28">
      <c r="A14" s="4" t="s">
        <v>188</v>
      </c>
      <c r="B14" s="4" t="s">
        <v>25</v>
      </c>
      <c r="C14" s="4" t="s">
        <v>189</v>
      </c>
      <c r="D14" s="4" t="s">
        <v>190</v>
      </c>
      <c r="E14" s="5">
        <v>8</v>
      </c>
      <c r="F14" s="5">
        <v>8.9</v>
      </c>
      <c r="G14" s="5">
        <v>6.5</v>
      </c>
      <c r="H14" s="5">
        <v>7.5</v>
      </c>
      <c r="I14" s="5">
        <v>7.4</v>
      </c>
      <c r="J14" s="5">
        <v>3.8</v>
      </c>
      <c r="K14" s="5">
        <f t="shared" si="0"/>
        <v>77.5</v>
      </c>
      <c r="L14" s="4" t="s">
        <v>136</v>
      </c>
      <c r="M14" s="4" t="s">
        <v>191</v>
      </c>
      <c r="N14" s="4" t="s">
        <v>192</v>
      </c>
      <c r="O14" s="4" t="s">
        <v>77</v>
      </c>
      <c r="P14" s="4" t="s">
        <v>140</v>
      </c>
      <c r="Q14" s="4" t="s">
        <v>193</v>
      </c>
      <c r="R14" s="4" t="s">
        <v>194</v>
      </c>
      <c r="S14" s="4" t="s">
        <v>195</v>
      </c>
      <c r="T14" s="4" t="s">
        <v>196</v>
      </c>
      <c r="U14" s="4" t="s">
        <v>197</v>
      </c>
      <c r="V14" s="4" t="s">
        <v>198</v>
      </c>
      <c r="W14" s="4" t="s">
        <v>199</v>
      </c>
      <c r="X14" s="4" t="s">
        <v>187</v>
      </c>
    </row>
    <row r="15" spans="1:24" ht="28">
      <c r="A15" s="4" t="s">
        <v>200</v>
      </c>
      <c r="B15" s="4" t="s">
        <v>25</v>
      </c>
      <c r="C15" s="4" t="s">
        <v>201</v>
      </c>
      <c r="D15" s="4" t="s">
        <v>179</v>
      </c>
      <c r="E15" s="5">
        <v>7.7</v>
      </c>
      <c r="F15" s="5">
        <v>8.6</v>
      </c>
      <c r="G15" s="5">
        <v>8.8000000000000007</v>
      </c>
      <c r="H15" s="5">
        <v>8</v>
      </c>
      <c r="I15" s="5">
        <v>7.7</v>
      </c>
      <c r="J15" s="5">
        <v>4</v>
      </c>
      <c r="K15" s="5">
        <f t="shared" si="0"/>
        <v>80.5</v>
      </c>
      <c r="L15" s="4" t="s">
        <v>136</v>
      </c>
      <c r="M15" s="4" t="s">
        <v>202</v>
      </c>
      <c r="N15" s="4" t="s">
        <v>203</v>
      </c>
      <c r="O15" s="4" t="s">
        <v>77</v>
      </c>
      <c r="P15" s="4" t="s">
        <v>204</v>
      </c>
      <c r="Q15" s="4" t="s">
        <v>205</v>
      </c>
      <c r="R15" s="4" t="s">
        <v>206</v>
      </c>
      <c r="S15" s="4" t="s">
        <v>207</v>
      </c>
      <c r="T15" s="4" t="s">
        <v>208</v>
      </c>
      <c r="U15" s="4" t="s">
        <v>209</v>
      </c>
      <c r="V15" s="4" t="s">
        <v>210</v>
      </c>
      <c r="W15" s="4" t="s">
        <v>187</v>
      </c>
      <c r="X15" s="4" t="s">
        <v>133</v>
      </c>
    </row>
    <row r="16" spans="1:24" ht="28">
      <c r="A16" s="4" t="s">
        <v>211</v>
      </c>
      <c r="B16" s="4" t="s">
        <v>25</v>
      </c>
      <c r="C16" s="4" t="s">
        <v>212</v>
      </c>
      <c r="D16" s="4" t="s">
        <v>213</v>
      </c>
      <c r="E16" s="5">
        <v>7.8</v>
      </c>
      <c r="F16" s="5">
        <v>7.8</v>
      </c>
      <c r="G16" s="5">
        <v>6.8</v>
      </c>
      <c r="H16" s="5">
        <v>7</v>
      </c>
      <c r="I16" s="5">
        <v>8.6999999999999993</v>
      </c>
      <c r="J16" s="5">
        <v>5.8</v>
      </c>
      <c r="K16" s="5">
        <f t="shared" si="0"/>
        <v>74.900000000000006</v>
      </c>
      <c r="L16" s="4" t="s">
        <v>214</v>
      </c>
      <c r="M16" s="4" t="s">
        <v>215</v>
      </c>
      <c r="N16" s="4" t="s">
        <v>216</v>
      </c>
      <c r="O16" s="4" t="s">
        <v>103</v>
      </c>
      <c r="P16" s="4" t="s">
        <v>126</v>
      </c>
      <c r="Q16" s="4" t="s">
        <v>217</v>
      </c>
      <c r="R16" s="4" t="s">
        <v>218</v>
      </c>
      <c r="S16" s="4" t="s">
        <v>219</v>
      </c>
      <c r="T16" s="4" t="s">
        <v>220</v>
      </c>
      <c r="U16" s="4" t="s">
        <v>221</v>
      </c>
      <c r="V16" s="4" t="s">
        <v>222</v>
      </c>
      <c r="W16" s="4" t="s">
        <v>133</v>
      </c>
      <c r="X16" s="4" t="s">
        <v>223</v>
      </c>
    </row>
    <row r="17" spans="1:24" ht="28">
      <c r="A17" s="4" t="s">
        <v>224</v>
      </c>
      <c r="B17" s="4" t="s">
        <v>25</v>
      </c>
      <c r="C17" s="4" t="s">
        <v>225</v>
      </c>
      <c r="D17" s="4" t="s">
        <v>226</v>
      </c>
      <c r="E17" s="5">
        <v>8.6999999999999993</v>
      </c>
      <c r="F17" s="5">
        <v>8.5</v>
      </c>
      <c r="G17" s="5">
        <v>6</v>
      </c>
      <c r="H17" s="5">
        <v>8</v>
      </c>
      <c r="I17" s="5">
        <v>7.7</v>
      </c>
      <c r="J17" s="5">
        <v>4.8</v>
      </c>
      <c r="K17" s="5">
        <f t="shared" si="0"/>
        <v>78.2</v>
      </c>
      <c r="L17" s="4" t="s">
        <v>214</v>
      </c>
      <c r="M17" s="4" t="s">
        <v>227</v>
      </c>
      <c r="N17" s="4" t="s">
        <v>228</v>
      </c>
      <c r="O17" s="4" t="s">
        <v>103</v>
      </c>
      <c r="P17" s="4" t="s">
        <v>229</v>
      </c>
      <c r="Q17" s="4" t="s">
        <v>230</v>
      </c>
      <c r="R17" s="4" t="s">
        <v>117</v>
      </c>
      <c r="S17" s="4" t="s">
        <v>231</v>
      </c>
      <c r="T17" s="4" t="s">
        <v>232</v>
      </c>
      <c r="U17" s="4" t="s">
        <v>233</v>
      </c>
      <c r="V17" s="4" t="s">
        <v>234</v>
      </c>
      <c r="W17" s="4" t="s">
        <v>55</v>
      </c>
      <c r="X17" s="4" t="s">
        <v>235</v>
      </c>
    </row>
    <row r="18" spans="1:24" ht="28">
      <c r="A18" s="4" t="s">
        <v>236</v>
      </c>
      <c r="B18" s="4" t="s">
        <v>57</v>
      </c>
      <c r="C18" s="4" t="s">
        <v>237</v>
      </c>
      <c r="D18" s="4" t="s">
        <v>238</v>
      </c>
      <c r="E18" s="5">
        <v>7.5</v>
      </c>
      <c r="F18" s="5">
        <v>8.1</v>
      </c>
      <c r="G18" s="5">
        <v>6.4</v>
      </c>
      <c r="H18" s="5">
        <v>7.5</v>
      </c>
      <c r="I18" s="5">
        <v>8.4</v>
      </c>
      <c r="J18" s="5">
        <v>5</v>
      </c>
      <c r="K18" s="5">
        <f t="shared" si="0"/>
        <v>75</v>
      </c>
      <c r="L18" s="4" t="s">
        <v>214</v>
      </c>
      <c r="M18" s="4" t="s">
        <v>239</v>
      </c>
      <c r="N18" s="4" t="s">
        <v>240</v>
      </c>
      <c r="O18" s="4" t="s">
        <v>241</v>
      </c>
      <c r="P18" s="4" t="s">
        <v>242</v>
      </c>
      <c r="Q18" s="4" t="s">
        <v>243</v>
      </c>
      <c r="R18" s="4" t="s">
        <v>117</v>
      </c>
      <c r="S18" s="4" t="s">
        <v>244</v>
      </c>
      <c r="T18" s="4" t="s">
        <v>245</v>
      </c>
      <c r="U18" s="4" t="s">
        <v>246</v>
      </c>
      <c r="V18" s="4" t="s">
        <v>247</v>
      </c>
      <c r="W18" s="4" t="s">
        <v>248</v>
      </c>
      <c r="X18" s="4" t="s">
        <v>249</v>
      </c>
    </row>
    <row r="19" spans="1:24">
      <c r="A19" s="4" t="s">
        <v>250</v>
      </c>
      <c r="B19" s="4" t="s">
        <v>57</v>
      </c>
      <c r="C19" s="4" t="s">
        <v>251</v>
      </c>
      <c r="D19" s="4" t="s">
        <v>252</v>
      </c>
      <c r="E19" s="5">
        <v>7</v>
      </c>
      <c r="F19" s="5">
        <v>7.6</v>
      </c>
      <c r="G19" s="5">
        <v>6.8</v>
      </c>
      <c r="H19" s="5">
        <v>6.5</v>
      </c>
      <c r="I19" s="5">
        <v>8</v>
      </c>
      <c r="J19" s="5">
        <v>6.5</v>
      </c>
      <c r="K19" s="5">
        <f t="shared" si="0"/>
        <v>70.2</v>
      </c>
      <c r="L19" s="4" t="s">
        <v>253</v>
      </c>
      <c r="M19" s="4" t="s">
        <v>254</v>
      </c>
      <c r="N19" s="4" t="s">
        <v>255</v>
      </c>
      <c r="O19" s="4" t="s">
        <v>256</v>
      </c>
      <c r="P19" s="4" t="s">
        <v>47</v>
      </c>
      <c r="Q19" s="4" t="s">
        <v>257</v>
      </c>
      <c r="R19" s="4" t="s">
        <v>218</v>
      </c>
      <c r="S19" s="4" t="s">
        <v>258</v>
      </c>
      <c r="T19" s="4" t="s">
        <v>259</v>
      </c>
      <c r="U19" s="4" t="s">
        <v>260</v>
      </c>
      <c r="V19" s="4" t="s">
        <v>261</v>
      </c>
      <c r="W19" s="4" t="s">
        <v>262</v>
      </c>
      <c r="X19" s="4" t="s">
        <v>248</v>
      </c>
    </row>
    <row r="20" spans="1:24">
      <c r="A20" s="4" t="s">
        <v>263</v>
      </c>
      <c r="B20" s="4" t="s">
        <v>25</v>
      </c>
      <c r="C20" s="4" t="s">
        <v>264</v>
      </c>
      <c r="D20" s="4" t="s">
        <v>265</v>
      </c>
      <c r="E20" s="5">
        <v>6.9</v>
      </c>
      <c r="F20" s="5">
        <v>7.7</v>
      </c>
      <c r="G20" s="5">
        <v>6.8</v>
      </c>
      <c r="H20" s="5">
        <v>6.4</v>
      </c>
      <c r="I20" s="5">
        <v>8.5</v>
      </c>
      <c r="J20" s="5">
        <v>6.8</v>
      </c>
      <c r="K20" s="5">
        <f t="shared" si="0"/>
        <v>70.7</v>
      </c>
      <c r="L20" s="4" t="s">
        <v>253</v>
      </c>
      <c r="M20" s="4" t="s">
        <v>266</v>
      </c>
      <c r="N20" s="4" t="s">
        <v>267</v>
      </c>
      <c r="O20" s="4" t="s">
        <v>103</v>
      </c>
      <c r="P20" s="4" t="s">
        <v>140</v>
      </c>
      <c r="Q20" s="4" t="s">
        <v>268</v>
      </c>
      <c r="R20" s="4" t="s">
        <v>117</v>
      </c>
      <c r="S20" s="4" t="s">
        <v>269</v>
      </c>
      <c r="T20" s="4" t="s">
        <v>270</v>
      </c>
      <c r="U20" s="4" t="s">
        <v>271</v>
      </c>
      <c r="V20" s="4" t="s">
        <v>272</v>
      </c>
      <c r="W20" s="4" t="s">
        <v>273</v>
      </c>
      <c r="X20" s="4" t="s">
        <v>147</v>
      </c>
    </row>
    <row r="21" spans="1:24">
      <c r="A21" s="4" t="s">
        <v>274</v>
      </c>
      <c r="B21" s="4" t="s">
        <v>25</v>
      </c>
      <c r="C21" s="4" t="s">
        <v>275</v>
      </c>
      <c r="D21" s="4" t="s">
        <v>265</v>
      </c>
      <c r="E21" s="5">
        <v>6.8</v>
      </c>
      <c r="F21" s="5">
        <v>8</v>
      </c>
      <c r="G21" s="5">
        <v>6.6</v>
      </c>
      <c r="H21" s="5">
        <v>6.2</v>
      </c>
      <c r="I21" s="5">
        <v>8.8000000000000007</v>
      </c>
      <c r="J21" s="5">
        <v>7</v>
      </c>
      <c r="K21" s="5">
        <f t="shared" si="0"/>
        <v>70.900000000000006</v>
      </c>
      <c r="L21" s="4" t="s">
        <v>253</v>
      </c>
      <c r="M21" s="4" t="s">
        <v>276</v>
      </c>
      <c r="N21" s="4" t="s">
        <v>277</v>
      </c>
      <c r="O21" s="4" t="s">
        <v>103</v>
      </c>
      <c r="P21" s="4" t="s">
        <v>154</v>
      </c>
      <c r="Q21" s="4" t="s">
        <v>278</v>
      </c>
      <c r="R21" s="4" t="s">
        <v>117</v>
      </c>
      <c r="S21" s="4" t="s">
        <v>279</v>
      </c>
      <c r="T21" s="4" t="s">
        <v>280</v>
      </c>
      <c r="U21" s="4" t="s">
        <v>281</v>
      </c>
      <c r="V21" s="4" t="s">
        <v>282</v>
      </c>
      <c r="W21" s="4" t="s">
        <v>147</v>
      </c>
      <c r="X21" s="4" t="s">
        <v>132</v>
      </c>
    </row>
    <row r="22" spans="1:24">
      <c r="A22" s="4" t="s">
        <v>283</v>
      </c>
      <c r="B22" s="4" t="s">
        <v>25</v>
      </c>
      <c r="C22" s="4" t="s">
        <v>284</v>
      </c>
      <c r="D22" s="4" t="s">
        <v>285</v>
      </c>
      <c r="E22" s="5">
        <v>6.7</v>
      </c>
      <c r="F22" s="5">
        <v>7.5</v>
      </c>
      <c r="G22" s="5">
        <v>6</v>
      </c>
      <c r="H22" s="5">
        <v>5.8</v>
      </c>
      <c r="I22" s="5">
        <v>8.4</v>
      </c>
      <c r="J22" s="5">
        <v>7</v>
      </c>
      <c r="K22" s="5">
        <f t="shared" si="0"/>
        <v>67.3</v>
      </c>
      <c r="L22" s="4" t="s">
        <v>286</v>
      </c>
      <c r="M22" s="4" t="s">
        <v>287</v>
      </c>
      <c r="N22" s="4" t="s">
        <v>288</v>
      </c>
      <c r="O22" s="4" t="s">
        <v>289</v>
      </c>
      <c r="P22" s="4" t="s">
        <v>140</v>
      </c>
      <c r="Q22" s="4" t="s">
        <v>290</v>
      </c>
      <c r="R22" s="4" t="s">
        <v>117</v>
      </c>
      <c r="S22" s="4" t="s">
        <v>291</v>
      </c>
      <c r="T22" s="4" t="s">
        <v>292</v>
      </c>
      <c r="U22" s="4" t="s">
        <v>293</v>
      </c>
      <c r="V22" s="4" t="s">
        <v>294</v>
      </c>
      <c r="W22" s="4" t="s">
        <v>163</v>
      </c>
      <c r="X22" s="4" t="s">
        <v>147</v>
      </c>
    </row>
    <row r="23" spans="1:24">
      <c r="A23" s="4" t="s">
        <v>295</v>
      </c>
      <c r="B23" s="4" t="s">
        <v>25</v>
      </c>
      <c r="C23" s="4" t="s">
        <v>296</v>
      </c>
      <c r="D23" s="4" t="s">
        <v>226</v>
      </c>
      <c r="E23" s="5">
        <v>6.6</v>
      </c>
      <c r="F23" s="5">
        <v>7.8</v>
      </c>
      <c r="G23" s="5">
        <v>6.2</v>
      </c>
      <c r="H23" s="5">
        <v>6.3</v>
      </c>
      <c r="I23" s="5">
        <v>7.4</v>
      </c>
      <c r="J23" s="5">
        <v>5.5</v>
      </c>
      <c r="K23" s="5">
        <f t="shared" si="0"/>
        <v>68.099999999999994</v>
      </c>
      <c r="L23" s="4" t="s">
        <v>286</v>
      </c>
      <c r="M23" s="4" t="s">
        <v>297</v>
      </c>
      <c r="N23" s="4" t="s">
        <v>298</v>
      </c>
      <c r="O23" s="4" t="s">
        <v>103</v>
      </c>
      <c r="P23" s="4" t="s">
        <v>140</v>
      </c>
      <c r="Q23" s="4" t="s">
        <v>299</v>
      </c>
      <c r="R23" s="4" t="s">
        <v>117</v>
      </c>
      <c r="S23" s="4" t="s">
        <v>300</v>
      </c>
      <c r="T23" s="4" t="s">
        <v>301</v>
      </c>
      <c r="U23" s="4" t="s">
        <v>302</v>
      </c>
      <c r="V23" s="4" t="s">
        <v>303</v>
      </c>
      <c r="W23" s="4" t="s">
        <v>147</v>
      </c>
      <c r="X23" s="4" t="s">
        <v>304</v>
      </c>
    </row>
    <row r="24" spans="1:24">
      <c r="A24" s="4" t="s">
        <v>305</v>
      </c>
      <c r="B24" s="4" t="s">
        <v>25</v>
      </c>
      <c r="C24" s="4" t="s">
        <v>306</v>
      </c>
      <c r="D24" s="4" t="s">
        <v>307</v>
      </c>
      <c r="E24" s="5">
        <v>6.9</v>
      </c>
      <c r="F24" s="5">
        <v>8.4</v>
      </c>
      <c r="G24" s="5">
        <v>6.4</v>
      </c>
      <c r="H24" s="5">
        <v>7.4</v>
      </c>
      <c r="I24" s="5">
        <v>7</v>
      </c>
      <c r="J24" s="5">
        <v>4.5</v>
      </c>
      <c r="K24" s="5">
        <f t="shared" si="0"/>
        <v>72.2</v>
      </c>
      <c r="L24" s="4" t="s">
        <v>253</v>
      </c>
      <c r="M24" s="4" t="s">
        <v>308</v>
      </c>
      <c r="N24" s="4" t="s">
        <v>309</v>
      </c>
      <c r="O24" s="4" t="s">
        <v>103</v>
      </c>
      <c r="P24" s="4" t="s">
        <v>103</v>
      </c>
      <c r="Q24" s="4" t="s">
        <v>310</v>
      </c>
      <c r="R24" s="4" t="s">
        <v>117</v>
      </c>
      <c r="S24" s="4" t="s">
        <v>311</v>
      </c>
      <c r="T24" s="4" t="s">
        <v>312</v>
      </c>
      <c r="U24" s="4" t="s">
        <v>313</v>
      </c>
      <c r="V24" s="4" t="s">
        <v>314</v>
      </c>
      <c r="W24" s="4" t="s">
        <v>39</v>
      </c>
      <c r="X24" s="4" t="s">
        <v>40</v>
      </c>
    </row>
    <row r="25" spans="1:24">
      <c r="A25" s="4" t="s">
        <v>315</v>
      </c>
      <c r="B25" s="4" t="s">
        <v>25</v>
      </c>
      <c r="C25" s="4" t="s">
        <v>316</v>
      </c>
      <c r="D25" s="4" t="s">
        <v>317</v>
      </c>
      <c r="E25" s="5">
        <v>6.8</v>
      </c>
      <c r="F25" s="5">
        <v>8.1999999999999993</v>
      </c>
      <c r="G25" s="5">
        <v>8</v>
      </c>
      <c r="H25" s="5">
        <v>7.2</v>
      </c>
      <c r="I25" s="5">
        <v>7.8</v>
      </c>
      <c r="J25" s="5">
        <v>5</v>
      </c>
      <c r="K25" s="5">
        <f t="shared" si="0"/>
        <v>74.5</v>
      </c>
      <c r="L25" s="4" t="s">
        <v>253</v>
      </c>
      <c r="M25" s="4" t="s">
        <v>318</v>
      </c>
      <c r="N25" s="4" t="s">
        <v>319</v>
      </c>
      <c r="O25" s="4" t="s">
        <v>103</v>
      </c>
      <c r="P25" s="4" t="s">
        <v>103</v>
      </c>
      <c r="Q25" s="4" t="s">
        <v>320</v>
      </c>
      <c r="R25" s="4" t="s">
        <v>321</v>
      </c>
      <c r="S25" s="4" t="s">
        <v>322</v>
      </c>
      <c r="T25" s="4" t="s">
        <v>323</v>
      </c>
      <c r="U25" s="4" t="s">
        <v>324</v>
      </c>
      <c r="V25" s="4" t="s">
        <v>325</v>
      </c>
      <c r="W25" s="4" t="s">
        <v>148</v>
      </c>
      <c r="X25" s="4" t="s">
        <v>40</v>
      </c>
    </row>
    <row r="26" spans="1:24">
      <c r="A26" s="4" t="s">
        <v>326</v>
      </c>
      <c r="B26" s="4" t="s">
        <v>25</v>
      </c>
      <c r="C26" s="4" t="s">
        <v>327</v>
      </c>
      <c r="D26" s="4" t="s">
        <v>252</v>
      </c>
      <c r="E26" s="5">
        <v>6.5</v>
      </c>
      <c r="F26" s="5">
        <v>8.3000000000000007</v>
      </c>
      <c r="G26" s="5">
        <v>6.6</v>
      </c>
      <c r="H26" s="5">
        <v>7.8</v>
      </c>
      <c r="I26" s="5">
        <v>7.4</v>
      </c>
      <c r="J26" s="5">
        <v>4.5</v>
      </c>
      <c r="K26" s="5">
        <f t="shared" si="0"/>
        <v>72.5</v>
      </c>
      <c r="L26" s="4" t="s">
        <v>253</v>
      </c>
      <c r="M26" s="4" t="s">
        <v>328</v>
      </c>
      <c r="N26" s="4" t="s">
        <v>309</v>
      </c>
      <c r="O26" s="4" t="s">
        <v>103</v>
      </c>
      <c r="P26" s="4" t="s">
        <v>103</v>
      </c>
      <c r="Q26" s="4" t="s">
        <v>329</v>
      </c>
      <c r="R26" s="4" t="s">
        <v>330</v>
      </c>
      <c r="S26" s="4" t="s">
        <v>331</v>
      </c>
      <c r="T26" s="4" t="s">
        <v>332</v>
      </c>
      <c r="U26" s="4" t="s">
        <v>333</v>
      </c>
      <c r="V26" s="4" t="s">
        <v>334</v>
      </c>
      <c r="W26" s="4" t="s">
        <v>71</v>
      </c>
      <c r="X26" s="4" t="s">
        <v>40</v>
      </c>
    </row>
    <row r="27" spans="1:24">
      <c r="A27" s="4" t="s">
        <v>335</v>
      </c>
      <c r="B27" s="4" t="s">
        <v>25</v>
      </c>
      <c r="C27" s="4" t="s">
        <v>336</v>
      </c>
      <c r="D27" s="4" t="s">
        <v>317</v>
      </c>
      <c r="E27" s="5">
        <v>6.7</v>
      </c>
      <c r="F27" s="5">
        <v>8.5</v>
      </c>
      <c r="G27" s="5">
        <v>7</v>
      </c>
      <c r="H27" s="5">
        <v>7.1</v>
      </c>
      <c r="I27" s="5">
        <v>7.2</v>
      </c>
      <c r="J27" s="5">
        <v>5</v>
      </c>
      <c r="K27" s="5">
        <f t="shared" si="0"/>
        <v>72.5</v>
      </c>
      <c r="L27" s="4" t="s">
        <v>253</v>
      </c>
      <c r="M27" s="4" t="s">
        <v>337</v>
      </c>
      <c r="N27" s="4" t="s">
        <v>309</v>
      </c>
      <c r="O27" s="4" t="s">
        <v>103</v>
      </c>
      <c r="P27" s="4" t="s">
        <v>103</v>
      </c>
      <c r="Q27" s="4" t="s">
        <v>338</v>
      </c>
      <c r="R27" s="4" t="s">
        <v>339</v>
      </c>
      <c r="S27" s="4" t="s">
        <v>340</v>
      </c>
      <c r="T27" s="4" t="s">
        <v>341</v>
      </c>
      <c r="U27" s="4" t="s">
        <v>342</v>
      </c>
      <c r="V27" s="4" t="s">
        <v>343</v>
      </c>
      <c r="W27" s="4" t="s">
        <v>223</v>
      </c>
      <c r="X27" s="4" t="s">
        <v>40</v>
      </c>
    </row>
    <row r="28" spans="1:24" ht="28">
      <c r="A28" s="4" t="s">
        <v>344</v>
      </c>
      <c r="B28" s="4" t="s">
        <v>25</v>
      </c>
      <c r="C28" s="4" t="s">
        <v>345</v>
      </c>
      <c r="D28" s="4" t="s">
        <v>346</v>
      </c>
      <c r="E28" s="5">
        <v>7.2</v>
      </c>
      <c r="F28" s="5">
        <v>7.4</v>
      </c>
      <c r="G28" s="5">
        <v>6.5</v>
      </c>
      <c r="H28" s="5">
        <v>6.8</v>
      </c>
      <c r="I28" s="5">
        <v>8</v>
      </c>
      <c r="J28" s="5">
        <v>5.5</v>
      </c>
      <c r="K28" s="5">
        <f t="shared" si="0"/>
        <v>70.7</v>
      </c>
      <c r="L28" s="4" t="s">
        <v>253</v>
      </c>
      <c r="M28" s="4" t="s">
        <v>347</v>
      </c>
      <c r="N28" s="4" t="s">
        <v>267</v>
      </c>
      <c r="O28" s="4" t="s">
        <v>348</v>
      </c>
      <c r="P28" s="4" t="s">
        <v>103</v>
      </c>
      <c r="Q28" s="4" t="s">
        <v>349</v>
      </c>
      <c r="R28" s="4" t="s">
        <v>117</v>
      </c>
      <c r="S28" s="4" t="s">
        <v>350</v>
      </c>
      <c r="T28" s="4" t="s">
        <v>351</v>
      </c>
      <c r="U28" s="4" t="s">
        <v>352</v>
      </c>
      <c r="V28" s="4" t="s">
        <v>353</v>
      </c>
      <c r="W28" s="4" t="s">
        <v>354</v>
      </c>
      <c r="X28" s="4" t="s">
        <v>355</v>
      </c>
    </row>
    <row r="29" spans="1:24" ht="28">
      <c r="A29" s="4" t="s">
        <v>356</v>
      </c>
      <c r="B29" s="4" t="s">
        <v>25</v>
      </c>
      <c r="C29" s="4" t="s">
        <v>357</v>
      </c>
      <c r="D29" s="4" t="s">
        <v>358</v>
      </c>
      <c r="E29" s="5">
        <v>6.5</v>
      </c>
      <c r="F29" s="5">
        <v>7.6</v>
      </c>
      <c r="G29" s="5">
        <v>6.8</v>
      </c>
      <c r="H29" s="5">
        <v>6.5</v>
      </c>
      <c r="I29" s="5">
        <v>8</v>
      </c>
      <c r="J29" s="5">
        <v>6.8</v>
      </c>
      <c r="K29" s="5">
        <f t="shared" si="0"/>
        <v>68.8</v>
      </c>
      <c r="L29" s="4" t="s">
        <v>286</v>
      </c>
      <c r="M29" s="4" t="s">
        <v>359</v>
      </c>
      <c r="N29" s="4" t="s">
        <v>288</v>
      </c>
      <c r="O29" s="4" t="s">
        <v>103</v>
      </c>
      <c r="P29" s="4" t="s">
        <v>103</v>
      </c>
      <c r="Q29" s="4" t="s">
        <v>360</v>
      </c>
      <c r="R29" s="4" t="s">
        <v>218</v>
      </c>
      <c r="S29" s="4" t="s">
        <v>361</v>
      </c>
      <c r="T29" s="4" t="s">
        <v>362</v>
      </c>
      <c r="U29" s="4" t="s">
        <v>363</v>
      </c>
      <c r="V29" s="4" t="s">
        <v>364</v>
      </c>
      <c r="W29" s="4" t="s">
        <v>365</v>
      </c>
      <c r="X29" s="4" t="s">
        <v>249</v>
      </c>
    </row>
    <row r="30" spans="1:24" ht="28">
      <c r="A30" s="4" t="s">
        <v>366</v>
      </c>
      <c r="B30" s="4" t="s">
        <v>25</v>
      </c>
      <c r="C30" s="4" t="s">
        <v>367</v>
      </c>
      <c r="D30" s="4" t="s">
        <v>368</v>
      </c>
      <c r="E30" s="5">
        <v>6.8</v>
      </c>
      <c r="F30" s="5">
        <v>7.8</v>
      </c>
      <c r="G30" s="5">
        <v>6.5</v>
      </c>
      <c r="H30" s="5">
        <v>6</v>
      </c>
      <c r="I30" s="5">
        <v>7.6</v>
      </c>
      <c r="J30" s="5">
        <v>6.5</v>
      </c>
      <c r="K30" s="5">
        <f t="shared" si="0"/>
        <v>68.400000000000006</v>
      </c>
      <c r="L30" s="4" t="s">
        <v>286</v>
      </c>
      <c r="M30" s="4" t="s">
        <v>369</v>
      </c>
      <c r="N30" s="4" t="s">
        <v>298</v>
      </c>
      <c r="O30" s="4" t="s">
        <v>256</v>
      </c>
      <c r="P30" s="4" t="s">
        <v>154</v>
      </c>
      <c r="Q30" s="4" t="s">
        <v>370</v>
      </c>
      <c r="R30" s="4" t="s">
        <v>117</v>
      </c>
      <c r="S30" s="4" t="s">
        <v>371</v>
      </c>
      <c r="T30" s="4" t="s">
        <v>372</v>
      </c>
      <c r="U30" s="4" t="s">
        <v>373</v>
      </c>
      <c r="V30" s="4" t="s">
        <v>374</v>
      </c>
      <c r="W30" s="4" t="s">
        <v>355</v>
      </c>
      <c r="X30" s="4" t="s">
        <v>147</v>
      </c>
    </row>
    <row r="31" spans="1:24">
      <c r="A31" s="4" t="s">
        <v>375</v>
      </c>
      <c r="B31" s="4" t="s">
        <v>25</v>
      </c>
      <c r="C31" s="4" t="s">
        <v>376</v>
      </c>
      <c r="D31" s="4" t="s">
        <v>317</v>
      </c>
      <c r="E31" s="5">
        <v>6.9</v>
      </c>
      <c r="F31" s="5">
        <v>8</v>
      </c>
      <c r="G31" s="5">
        <v>6.3</v>
      </c>
      <c r="H31" s="5">
        <v>6</v>
      </c>
      <c r="I31" s="5">
        <v>7.6</v>
      </c>
      <c r="J31" s="5">
        <v>6</v>
      </c>
      <c r="K31" s="5">
        <f t="shared" si="0"/>
        <v>69.099999999999994</v>
      </c>
      <c r="L31" s="4" t="s">
        <v>286</v>
      </c>
      <c r="M31" s="4" t="s">
        <v>377</v>
      </c>
      <c r="N31" s="4" t="s">
        <v>298</v>
      </c>
      <c r="O31" s="4" t="s">
        <v>256</v>
      </c>
      <c r="P31" s="4" t="s">
        <v>140</v>
      </c>
      <c r="Q31" s="4" t="s">
        <v>290</v>
      </c>
      <c r="R31" s="4" t="s">
        <v>117</v>
      </c>
      <c r="S31" s="4" t="s">
        <v>378</v>
      </c>
      <c r="T31" s="4" t="s">
        <v>379</v>
      </c>
      <c r="U31" s="4" t="s">
        <v>380</v>
      </c>
      <c r="V31" s="4" t="s">
        <v>381</v>
      </c>
      <c r="W31" s="4" t="s">
        <v>355</v>
      </c>
      <c r="X31" s="4" t="s">
        <v>147</v>
      </c>
    </row>
    <row r="32" spans="1:24">
      <c r="A32" s="4" t="s">
        <v>382</v>
      </c>
      <c r="B32" s="4" t="s">
        <v>25</v>
      </c>
      <c r="C32" s="4" t="s">
        <v>383</v>
      </c>
      <c r="D32" s="4" t="s">
        <v>307</v>
      </c>
      <c r="E32" s="5">
        <v>7</v>
      </c>
      <c r="F32" s="5">
        <v>8</v>
      </c>
      <c r="G32" s="5">
        <v>6.2</v>
      </c>
      <c r="H32" s="5">
        <v>7</v>
      </c>
      <c r="I32" s="5">
        <v>7.4</v>
      </c>
      <c r="J32" s="5">
        <v>5</v>
      </c>
      <c r="K32" s="5">
        <f t="shared" si="0"/>
        <v>70.900000000000006</v>
      </c>
      <c r="L32" s="4" t="s">
        <v>253</v>
      </c>
      <c r="M32" s="4" t="s">
        <v>384</v>
      </c>
      <c r="N32" s="4" t="s">
        <v>309</v>
      </c>
      <c r="O32" s="4" t="s">
        <v>103</v>
      </c>
      <c r="P32" s="4" t="s">
        <v>103</v>
      </c>
      <c r="Q32" s="4" t="s">
        <v>385</v>
      </c>
      <c r="R32" s="4" t="s">
        <v>117</v>
      </c>
      <c r="S32" s="4" t="s">
        <v>386</v>
      </c>
      <c r="T32" s="4" t="s">
        <v>387</v>
      </c>
      <c r="U32" s="4" t="s">
        <v>388</v>
      </c>
      <c r="V32" s="4" t="s">
        <v>389</v>
      </c>
      <c r="W32" s="4" t="s">
        <v>122</v>
      </c>
      <c r="X32" s="4" t="s">
        <v>304</v>
      </c>
    </row>
    <row r="33" spans="1:24">
      <c r="A33" s="4" t="s">
        <v>390</v>
      </c>
      <c r="B33" s="4" t="s">
        <v>57</v>
      </c>
      <c r="C33" s="4" t="s">
        <v>391</v>
      </c>
      <c r="D33" s="4" t="s">
        <v>392</v>
      </c>
      <c r="E33" s="5">
        <v>7</v>
      </c>
      <c r="F33" s="5">
        <v>7.7</v>
      </c>
      <c r="G33" s="5">
        <v>8</v>
      </c>
      <c r="H33" s="5">
        <v>6.8</v>
      </c>
      <c r="I33" s="5">
        <v>7.6</v>
      </c>
      <c r="J33" s="5">
        <v>5.8</v>
      </c>
      <c r="K33" s="5">
        <f t="shared" si="0"/>
        <v>72.5</v>
      </c>
      <c r="L33" s="4" t="s">
        <v>286</v>
      </c>
      <c r="M33" s="4" t="s">
        <v>393</v>
      </c>
      <c r="N33" s="4" t="s">
        <v>298</v>
      </c>
      <c r="O33" s="4" t="s">
        <v>394</v>
      </c>
      <c r="P33" s="4" t="s">
        <v>204</v>
      </c>
      <c r="Q33" s="4" t="s">
        <v>395</v>
      </c>
      <c r="R33" s="4" t="s">
        <v>396</v>
      </c>
      <c r="S33" s="4" t="s">
        <v>397</v>
      </c>
      <c r="T33" s="4" t="s">
        <v>398</v>
      </c>
      <c r="U33" s="4" t="s">
        <v>399</v>
      </c>
      <c r="V33" s="4" t="s">
        <v>400</v>
      </c>
      <c r="W33" s="4" t="s">
        <v>148</v>
      </c>
      <c r="X33" s="4" t="s">
        <v>55</v>
      </c>
    </row>
    <row r="34" spans="1:24">
      <c r="A34" s="4" t="s">
        <v>401</v>
      </c>
      <c r="B34" s="4" t="s">
        <v>25</v>
      </c>
      <c r="C34" s="4" t="s">
        <v>402</v>
      </c>
      <c r="D34" s="4" t="s">
        <v>392</v>
      </c>
      <c r="E34" s="5">
        <v>6.3</v>
      </c>
      <c r="F34" s="5">
        <v>7.7</v>
      </c>
      <c r="G34" s="5">
        <v>8.1999999999999993</v>
      </c>
      <c r="H34" s="5">
        <v>6.8</v>
      </c>
      <c r="I34" s="5">
        <v>7.2</v>
      </c>
      <c r="J34" s="5">
        <v>5.5</v>
      </c>
      <c r="K34" s="5">
        <f t="shared" si="0"/>
        <v>70.599999999999994</v>
      </c>
      <c r="L34" s="4" t="s">
        <v>286</v>
      </c>
      <c r="M34" s="4" t="s">
        <v>403</v>
      </c>
      <c r="N34" s="4" t="s">
        <v>298</v>
      </c>
      <c r="O34" s="4" t="s">
        <v>103</v>
      </c>
      <c r="P34" s="4" t="s">
        <v>103</v>
      </c>
      <c r="Q34" s="4" t="s">
        <v>404</v>
      </c>
      <c r="R34" s="4" t="s">
        <v>405</v>
      </c>
      <c r="S34" s="4" t="s">
        <v>406</v>
      </c>
      <c r="T34" s="4" t="s">
        <v>407</v>
      </c>
      <c r="U34" s="4" t="s">
        <v>408</v>
      </c>
      <c r="V34" s="4" t="s">
        <v>409</v>
      </c>
      <c r="W34" s="4" t="s">
        <v>148</v>
      </c>
      <c r="X34" s="4" t="s">
        <v>40</v>
      </c>
    </row>
    <row r="35" spans="1:24">
      <c r="A35" s="4" t="s">
        <v>410</v>
      </c>
      <c r="B35" s="4" t="s">
        <v>25</v>
      </c>
      <c r="C35" s="4" t="s">
        <v>411</v>
      </c>
      <c r="D35" s="4" t="s">
        <v>412</v>
      </c>
      <c r="E35" s="5">
        <v>5.4</v>
      </c>
      <c r="F35" s="5">
        <v>7</v>
      </c>
      <c r="G35" s="5">
        <v>5.8</v>
      </c>
      <c r="H35" s="5">
        <v>4.5</v>
      </c>
      <c r="I35" s="5">
        <v>7</v>
      </c>
      <c r="J35" s="5">
        <v>7.5</v>
      </c>
      <c r="K35" s="5">
        <f t="shared" si="0"/>
        <v>58.2</v>
      </c>
      <c r="L35" s="4" t="s">
        <v>413</v>
      </c>
      <c r="M35" s="4" t="s">
        <v>414</v>
      </c>
      <c r="N35" s="4" t="s">
        <v>415</v>
      </c>
      <c r="O35" s="4" t="s">
        <v>103</v>
      </c>
      <c r="P35" s="4" t="s">
        <v>416</v>
      </c>
      <c r="Q35" s="4" t="s">
        <v>417</v>
      </c>
      <c r="R35" s="4" t="s">
        <v>117</v>
      </c>
      <c r="S35" s="4" t="s">
        <v>418</v>
      </c>
      <c r="T35" s="4" t="s">
        <v>419</v>
      </c>
      <c r="U35" s="4" t="s">
        <v>420</v>
      </c>
      <c r="V35" s="4" t="s">
        <v>421</v>
      </c>
      <c r="W35" s="4" t="s">
        <v>147</v>
      </c>
      <c r="X35" s="4" t="s">
        <v>40</v>
      </c>
    </row>
    <row r="36" spans="1:24">
      <c r="A36" s="4" t="s">
        <v>422</v>
      </c>
      <c r="B36" s="4" t="s">
        <v>25</v>
      </c>
      <c r="C36" s="4" t="s">
        <v>423</v>
      </c>
      <c r="D36" s="4" t="s">
        <v>392</v>
      </c>
      <c r="E36" s="5">
        <v>7.8</v>
      </c>
      <c r="F36" s="5">
        <v>7.4</v>
      </c>
      <c r="G36" s="5">
        <v>5.7</v>
      </c>
      <c r="H36" s="5">
        <v>7.2</v>
      </c>
      <c r="I36" s="5">
        <v>7.6</v>
      </c>
      <c r="J36" s="5">
        <v>5.2</v>
      </c>
      <c r="K36" s="5">
        <f t="shared" si="0"/>
        <v>71.2</v>
      </c>
      <c r="L36" s="4" t="s">
        <v>253</v>
      </c>
      <c r="M36" s="4" t="s">
        <v>424</v>
      </c>
      <c r="N36" s="4" t="s">
        <v>309</v>
      </c>
      <c r="O36" s="4" t="s">
        <v>425</v>
      </c>
      <c r="P36" s="4" t="s">
        <v>64</v>
      </c>
      <c r="Q36" s="4" t="s">
        <v>426</v>
      </c>
      <c r="R36" s="4" t="s">
        <v>117</v>
      </c>
      <c r="S36" s="4" t="s">
        <v>427</v>
      </c>
      <c r="T36" s="4" t="s">
        <v>428</v>
      </c>
      <c r="U36" s="4" t="s">
        <v>429</v>
      </c>
      <c r="V36" s="4" t="s">
        <v>430</v>
      </c>
      <c r="W36" s="4" t="s">
        <v>55</v>
      </c>
      <c r="X36" s="4" t="s">
        <v>304</v>
      </c>
    </row>
    <row r="37" spans="1:24" ht="28">
      <c r="A37" s="4" t="s">
        <v>431</v>
      </c>
      <c r="B37" s="4" t="s">
        <v>25</v>
      </c>
      <c r="C37" s="4" t="s">
        <v>432</v>
      </c>
      <c r="D37" s="4" t="s">
        <v>412</v>
      </c>
      <c r="E37" s="5">
        <v>7.4</v>
      </c>
      <c r="F37" s="5">
        <v>7.2</v>
      </c>
      <c r="G37" s="5">
        <v>5.5</v>
      </c>
      <c r="H37" s="5">
        <v>6.5</v>
      </c>
      <c r="I37" s="5">
        <v>8</v>
      </c>
      <c r="J37" s="5">
        <v>6</v>
      </c>
      <c r="K37" s="5">
        <f t="shared" si="0"/>
        <v>68.5</v>
      </c>
      <c r="L37" s="4" t="s">
        <v>286</v>
      </c>
      <c r="M37" s="4" t="s">
        <v>433</v>
      </c>
      <c r="N37" s="4" t="s">
        <v>288</v>
      </c>
      <c r="O37" s="4" t="s">
        <v>103</v>
      </c>
      <c r="P37" s="4" t="s">
        <v>204</v>
      </c>
      <c r="Q37" s="4" t="s">
        <v>434</v>
      </c>
      <c r="R37" s="4" t="s">
        <v>117</v>
      </c>
      <c r="S37" s="4" t="s">
        <v>435</v>
      </c>
      <c r="T37" s="4" t="s">
        <v>436</v>
      </c>
      <c r="U37" s="4" t="s">
        <v>437</v>
      </c>
      <c r="V37" s="4" t="s">
        <v>438</v>
      </c>
      <c r="W37" s="4" t="s">
        <v>133</v>
      </c>
      <c r="X37" s="4" t="s">
        <v>132</v>
      </c>
    </row>
    <row r="38" spans="1:24">
      <c r="A38" s="4" t="s">
        <v>439</v>
      </c>
      <c r="B38" s="4" t="s">
        <v>57</v>
      </c>
      <c r="C38" s="4" t="s">
        <v>440</v>
      </c>
      <c r="D38" s="4" t="s">
        <v>412</v>
      </c>
      <c r="E38" s="5">
        <v>7</v>
      </c>
      <c r="F38" s="5">
        <v>7.2</v>
      </c>
      <c r="G38" s="5">
        <v>5.5</v>
      </c>
      <c r="H38" s="5">
        <v>6.8</v>
      </c>
      <c r="I38" s="5">
        <v>7.8</v>
      </c>
      <c r="J38" s="5">
        <v>5.8</v>
      </c>
      <c r="K38" s="5">
        <f t="shared" si="0"/>
        <v>67.8</v>
      </c>
      <c r="L38" s="4" t="s">
        <v>286</v>
      </c>
      <c r="M38" s="4" t="s">
        <v>424</v>
      </c>
      <c r="N38" s="4" t="s">
        <v>298</v>
      </c>
      <c r="O38" s="4" t="s">
        <v>441</v>
      </c>
      <c r="P38" s="4" t="s">
        <v>242</v>
      </c>
      <c r="Q38" s="4" t="s">
        <v>442</v>
      </c>
      <c r="R38" s="4" t="s">
        <v>117</v>
      </c>
      <c r="S38" s="4" t="s">
        <v>443</v>
      </c>
      <c r="T38" s="4" t="s">
        <v>444</v>
      </c>
      <c r="U38" s="4" t="s">
        <v>445</v>
      </c>
      <c r="V38" s="4" t="s">
        <v>446</v>
      </c>
      <c r="W38" s="4" t="s">
        <v>248</v>
      </c>
      <c r="X38" s="4" t="s">
        <v>249</v>
      </c>
    </row>
    <row r="39" spans="1:24">
      <c r="A39" s="4" t="s">
        <v>447</v>
      </c>
      <c r="B39" s="4" t="s">
        <v>25</v>
      </c>
      <c r="C39" s="4" t="s">
        <v>448</v>
      </c>
      <c r="D39" s="4" t="s">
        <v>392</v>
      </c>
      <c r="E39" s="5">
        <v>6.4</v>
      </c>
      <c r="F39" s="5">
        <v>7.2</v>
      </c>
      <c r="G39" s="5">
        <v>5.8</v>
      </c>
      <c r="H39" s="5">
        <v>5.6</v>
      </c>
      <c r="I39" s="5">
        <v>8</v>
      </c>
      <c r="J39" s="5">
        <v>6.8</v>
      </c>
      <c r="K39" s="5">
        <f t="shared" si="0"/>
        <v>64.7</v>
      </c>
      <c r="L39" s="4" t="s">
        <v>286</v>
      </c>
      <c r="M39" s="4" t="s">
        <v>449</v>
      </c>
      <c r="N39" s="4" t="s">
        <v>288</v>
      </c>
      <c r="O39" s="4" t="s">
        <v>256</v>
      </c>
      <c r="P39" s="4" t="s">
        <v>169</v>
      </c>
      <c r="Q39" s="4" t="s">
        <v>450</v>
      </c>
      <c r="R39" s="4" t="s">
        <v>117</v>
      </c>
      <c r="S39" s="4" t="s">
        <v>451</v>
      </c>
      <c r="T39" s="4" t="s">
        <v>452</v>
      </c>
      <c r="U39" s="4" t="s">
        <v>453</v>
      </c>
      <c r="V39" s="4" t="s">
        <v>454</v>
      </c>
      <c r="W39" s="4" t="s">
        <v>163</v>
      </c>
      <c r="X39" s="4" t="s">
        <v>40</v>
      </c>
    </row>
    <row r="40" spans="1:24">
      <c r="A40" s="2" t="s">
        <v>455</v>
      </c>
      <c r="B40" s="2" t="s">
        <v>25</v>
      </c>
      <c r="C40" s="2" t="s">
        <v>456</v>
      </c>
      <c r="D40" s="2" t="s">
        <v>457</v>
      </c>
      <c r="E40" s="2">
        <v>8</v>
      </c>
      <c r="F40" s="2">
        <v>8.1999999999999993</v>
      </c>
      <c r="G40" s="2">
        <v>8.1</v>
      </c>
      <c r="H40" s="2">
        <v>8.8000000000000007</v>
      </c>
      <c r="I40" s="2">
        <v>7.1</v>
      </c>
      <c r="J40" s="2">
        <v>4.2</v>
      </c>
      <c r="K40" s="2">
        <f t="shared" ref="K40:K46" si="1">IF(A40="","",ROUND((E40*0.25+F40*0.25+G40*0.15+H40*0.15+I40*0.15+(10-J40)*0.05)*10,1))</f>
        <v>79.400000000000006</v>
      </c>
      <c r="L40" s="2" t="s">
        <v>136</v>
      </c>
      <c r="M40" s="2" t="s">
        <v>458</v>
      </c>
      <c r="N40" s="2" t="s">
        <v>459</v>
      </c>
      <c r="O40" s="2" t="s">
        <v>460</v>
      </c>
      <c r="P40" s="2" t="s">
        <v>461</v>
      </c>
      <c r="Q40" s="2" t="s">
        <v>462</v>
      </c>
      <c r="R40" s="2" t="s">
        <v>463</v>
      </c>
      <c r="S40" s="2" t="s">
        <v>464</v>
      </c>
      <c r="T40" s="2" t="s">
        <v>465</v>
      </c>
      <c r="U40" s="2" t="s">
        <v>466</v>
      </c>
      <c r="V40" s="2" t="s">
        <v>467</v>
      </c>
      <c r="W40" s="2" t="s">
        <v>468</v>
      </c>
      <c r="X40" s="2" t="s">
        <v>469</v>
      </c>
    </row>
    <row r="41" spans="1:24">
      <c r="A41" s="2" t="s">
        <v>470</v>
      </c>
      <c r="B41" s="2" t="s">
        <v>25</v>
      </c>
      <c r="C41" s="2" t="s">
        <v>471</v>
      </c>
      <c r="D41" s="2" t="s">
        <v>472</v>
      </c>
      <c r="E41" s="2">
        <v>7.6</v>
      </c>
      <c r="F41" s="2">
        <v>8.1</v>
      </c>
      <c r="G41" s="2">
        <v>8.1999999999999993</v>
      </c>
      <c r="H41" s="2">
        <v>8.4</v>
      </c>
      <c r="I41" s="2">
        <v>6.8</v>
      </c>
      <c r="J41" s="2">
        <v>4.5</v>
      </c>
      <c r="K41" s="2">
        <f t="shared" si="1"/>
        <v>77.099999999999994</v>
      </c>
      <c r="L41" s="2" t="s">
        <v>214</v>
      </c>
      <c r="M41" s="2" t="s">
        <v>473</v>
      </c>
      <c r="N41" s="2" t="s">
        <v>474</v>
      </c>
      <c r="O41" s="2" t="s">
        <v>475</v>
      </c>
      <c r="P41" s="2" t="s">
        <v>476</v>
      </c>
      <c r="Q41" s="2" t="s">
        <v>477</v>
      </c>
      <c r="R41" s="2" t="s">
        <v>478</v>
      </c>
      <c r="S41" s="2" t="s">
        <v>479</v>
      </c>
      <c r="T41" s="2" t="s">
        <v>480</v>
      </c>
      <c r="U41" s="2" t="s">
        <v>481</v>
      </c>
      <c r="V41" s="2" t="s">
        <v>482</v>
      </c>
      <c r="W41" s="2" t="s">
        <v>483</v>
      </c>
      <c r="X41" s="2" t="s">
        <v>484</v>
      </c>
    </row>
    <row r="42" spans="1:24">
      <c r="A42" s="2" t="s">
        <v>485</v>
      </c>
      <c r="B42" s="2" t="s">
        <v>25</v>
      </c>
      <c r="C42" s="2" t="s">
        <v>486</v>
      </c>
      <c r="D42" s="2" t="s">
        <v>487</v>
      </c>
      <c r="E42" s="2">
        <v>7.5</v>
      </c>
      <c r="F42" s="2">
        <v>8.4</v>
      </c>
      <c r="G42" s="2">
        <v>8.3000000000000007</v>
      </c>
      <c r="H42" s="2">
        <v>8.6999999999999993</v>
      </c>
      <c r="I42" s="2">
        <v>6.7</v>
      </c>
      <c r="J42" s="2">
        <v>4</v>
      </c>
      <c r="K42" s="2">
        <f t="shared" si="1"/>
        <v>78.3</v>
      </c>
      <c r="L42" s="2" t="s">
        <v>214</v>
      </c>
      <c r="M42" s="2" t="s">
        <v>488</v>
      </c>
      <c r="N42" s="2" t="s">
        <v>489</v>
      </c>
      <c r="O42" s="2" t="s">
        <v>490</v>
      </c>
      <c r="P42" s="2" t="s">
        <v>490</v>
      </c>
      <c r="Q42" s="2" t="s">
        <v>491</v>
      </c>
      <c r="R42" s="2" t="s">
        <v>492</v>
      </c>
      <c r="S42" s="2" t="s">
        <v>493</v>
      </c>
      <c r="T42" s="2" t="s">
        <v>494</v>
      </c>
      <c r="U42" s="2" t="s">
        <v>495</v>
      </c>
      <c r="V42" s="2" t="s">
        <v>496</v>
      </c>
      <c r="W42" s="2" t="s">
        <v>483</v>
      </c>
      <c r="X42" s="2" t="s">
        <v>484</v>
      </c>
    </row>
    <row r="43" spans="1:24">
      <c r="A43" s="2" t="s">
        <v>497</v>
      </c>
      <c r="B43" s="2" t="s">
        <v>25</v>
      </c>
      <c r="C43" s="2" t="s">
        <v>498</v>
      </c>
      <c r="D43" s="2" t="s">
        <v>499</v>
      </c>
      <c r="E43" s="2">
        <v>7.4</v>
      </c>
      <c r="F43" s="2">
        <v>7.5</v>
      </c>
      <c r="G43" s="2">
        <v>7.7</v>
      </c>
      <c r="H43" s="2">
        <v>6.8</v>
      </c>
      <c r="I43" s="2">
        <v>7.6</v>
      </c>
      <c r="J43" s="2">
        <v>6.2</v>
      </c>
      <c r="K43" s="2">
        <f t="shared" si="1"/>
        <v>72.3</v>
      </c>
      <c r="L43" s="2" t="s">
        <v>286</v>
      </c>
      <c r="M43" s="2" t="s">
        <v>500</v>
      </c>
      <c r="N43" s="2" t="s">
        <v>501</v>
      </c>
      <c r="O43" s="2" t="s">
        <v>502</v>
      </c>
      <c r="P43" s="2" t="s">
        <v>502</v>
      </c>
      <c r="Q43" s="2" t="s">
        <v>503</v>
      </c>
      <c r="R43" s="2" t="s">
        <v>504</v>
      </c>
      <c r="S43" s="2" t="s">
        <v>505</v>
      </c>
      <c r="T43" s="2" t="s">
        <v>506</v>
      </c>
      <c r="U43" s="2" t="s">
        <v>507</v>
      </c>
      <c r="V43" s="2" t="s">
        <v>508</v>
      </c>
      <c r="W43" s="2" t="s">
        <v>509</v>
      </c>
      <c r="X43" s="2" t="s">
        <v>510</v>
      </c>
    </row>
    <row r="44" spans="1:24">
      <c r="A44" s="2" t="s">
        <v>511</v>
      </c>
      <c r="B44" s="2" t="s">
        <v>25</v>
      </c>
      <c r="C44" s="2" t="s">
        <v>512</v>
      </c>
      <c r="D44" s="2" t="s">
        <v>513</v>
      </c>
      <c r="E44" s="2">
        <v>7</v>
      </c>
      <c r="F44" s="2">
        <v>7.7</v>
      </c>
      <c r="G44" s="2">
        <v>7.8</v>
      </c>
      <c r="H44" s="2">
        <v>7.4</v>
      </c>
      <c r="I44" s="2">
        <v>7.1</v>
      </c>
      <c r="J44" s="2">
        <v>5.4</v>
      </c>
      <c r="K44" s="2">
        <f t="shared" si="1"/>
        <v>72.5</v>
      </c>
      <c r="L44" s="2" t="s">
        <v>286</v>
      </c>
      <c r="M44" s="2" t="s">
        <v>514</v>
      </c>
      <c r="N44" s="2" t="s">
        <v>515</v>
      </c>
      <c r="O44" s="2" t="s">
        <v>516</v>
      </c>
      <c r="P44" s="2" t="s">
        <v>490</v>
      </c>
      <c r="Q44" s="2" t="s">
        <v>517</v>
      </c>
      <c r="R44" s="2" t="s">
        <v>518</v>
      </c>
      <c r="S44" s="2" t="s">
        <v>519</v>
      </c>
      <c r="T44" s="2" t="s">
        <v>520</v>
      </c>
      <c r="U44" s="2" t="s">
        <v>521</v>
      </c>
      <c r="V44" s="2" t="s">
        <v>522</v>
      </c>
      <c r="W44" s="2" t="s">
        <v>483</v>
      </c>
      <c r="X44" s="2" t="s">
        <v>484</v>
      </c>
    </row>
    <row r="45" spans="1:24">
      <c r="A45" s="2" t="s">
        <v>523</v>
      </c>
      <c r="B45" s="2" t="s">
        <v>25</v>
      </c>
      <c r="C45" s="2" t="s">
        <v>524</v>
      </c>
      <c r="D45" s="2" t="s">
        <v>525</v>
      </c>
      <c r="E45" s="2">
        <v>6.9</v>
      </c>
      <c r="F45" s="2">
        <v>7.4</v>
      </c>
      <c r="G45" s="2">
        <v>7.2</v>
      </c>
      <c r="H45" s="2">
        <v>7.2</v>
      </c>
      <c r="I45" s="2">
        <v>6.9</v>
      </c>
      <c r="J45" s="2">
        <v>5</v>
      </c>
      <c r="K45" s="2">
        <f t="shared" si="1"/>
        <v>70.2</v>
      </c>
      <c r="L45" s="2" t="s">
        <v>286</v>
      </c>
      <c r="M45" s="2" t="s">
        <v>526</v>
      </c>
      <c r="N45" s="2" t="s">
        <v>527</v>
      </c>
      <c r="O45" s="2" t="s">
        <v>502</v>
      </c>
      <c r="P45" s="2" t="s">
        <v>502</v>
      </c>
      <c r="Q45" s="2" t="s">
        <v>528</v>
      </c>
      <c r="R45" s="2" t="s">
        <v>529</v>
      </c>
      <c r="S45" s="2" t="s">
        <v>530</v>
      </c>
      <c r="T45" s="2" t="s">
        <v>531</v>
      </c>
      <c r="U45" s="2" t="s">
        <v>532</v>
      </c>
      <c r="V45" s="2" t="s">
        <v>533</v>
      </c>
      <c r="W45" s="2" t="s">
        <v>510</v>
      </c>
      <c r="X45" s="2" t="s">
        <v>484</v>
      </c>
    </row>
    <row r="46" spans="1:24">
      <c r="A46" s="2" t="s">
        <v>534</v>
      </c>
      <c r="B46" s="2" t="s">
        <v>25</v>
      </c>
      <c r="C46" s="2" t="s">
        <v>535</v>
      </c>
      <c r="D46" s="2" t="s">
        <v>536</v>
      </c>
      <c r="E46" s="2">
        <v>6.8</v>
      </c>
      <c r="F46" s="2">
        <v>7</v>
      </c>
      <c r="G46" s="2">
        <v>6.4</v>
      </c>
      <c r="H46" s="2">
        <v>6.7</v>
      </c>
      <c r="I46" s="2">
        <v>7.1</v>
      </c>
      <c r="J46" s="2">
        <v>6.5</v>
      </c>
      <c r="K46" s="2">
        <f t="shared" si="1"/>
        <v>66.599999999999994</v>
      </c>
      <c r="L46" s="2" t="s">
        <v>413</v>
      </c>
      <c r="M46" s="2" t="s">
        <v>537</v>
      </c>
      <c r="N46" s="2" t="s">
        <v>538</v>
      </c>
      <c r="O46" s="2" t="s">
        <v>539</v>
      </c>
      <c r="P46" s="2" t="s">
        <v>502</v>
      </c>
      <c r="Q46" s="2" t="s">
        <v>540</v>
      </c>
      <c r="R46" s="2" t="s">
        <v>541</v>
      </c>
      <c r="S46" s="2" t="s">
        <v>542</v>
      </c>
      <c r="T46" s="2" t="s">
        <v>543</v>
      </c>
      <c r="U46" s="2" t="s">
        <v>544</v>
      </c>
      <c r="V46" s="2" t="s">
        <v>545</v>
      </c>
      <c r="W46" s="2" t="s">
        <v>546</v>
      </c>
      <c r="X46" s="2" t="s">
        <v>547</v>
      </c>
    </row>
    <row r="47" spans="1:24">
      <c r="A47" s="2"/>
      <c r="B47" s="2"/>
      <c r="C47" s="2"/>
      <c r="D47" s="2"/>
      <c r="E47" s="2"/>
      <c r="F47" s="2"/>
      <c r="G47" s="2"/>
      <c r="H47" s="2"/>
      <c r="I47" s="2"/>
      <c r="J47" s="2"/>
      <c r="K47" s="2"/>
      <c r="L47" s="2"/>
      <c r="M47" s="2"/>
      <c r="N47" s="2"/>
      <c r="O47" s="2"/>
      <c r="P47" s="2"/>
      <c r="Q47" s="2"/>
      <c r="R47" s="2"/>
      <c r="S47" s="2"/>
      <c r="T47" s="2"/>
      <c r="U47" s="2"/>
      <c r="V47" s="2"/>
      <c r="W47" s="2"/>
      <c r="X47" s="2"/>
    </row>
    <row r="48" spans="1:24">
      <c r="A48" s="2"/>
      <c r="B48" s="2"/>
      <c r="C48" s="2"/>
      <c r="D48" s="2"/>
      <c r="E48" s="2"/>
      <c r="F48" s="2"/>
      <c r="G48" s="2"/>
      <c r="H48" s="2"/>
      <c r="I48" s="2"/>
      <c r="J48" s="2"/>
      <c r="K48" s="2"/>
      <c r="L48" s="2"/>
      <c r="M48" s="2"/>
      <c r="N48" s="2"/>
      <c r="O48" s="2"/>
      <c r="P48" s="2"/>
      <c r="Q48" s="2"/>
      <c r="R48" s="2"/>
      <c r="S48" s="2"/>
      <c r="T48" s="2"/>
      <c r="U48" s="2"/>
      <c r="V48" s="2"/>
      <c r="W48" s="2"/>
      <c r="X48" s="2"/>
    </row>
    <row r="49" spans="1:24">
      <c r="A49" s="2"/>
      <c r="B49" s="2"/>
      <c r="C49" s="2"/>
      <c r="D49" s="2"/>
      <c r="E49" s="2"/>
      <c r="F49" s="2"/>
      <c r="G49" s="2"/>
      <c r="H49" s="2"/>
      <c r="I49" s="2"/>
      <c r="J49" s="2"/>
      <c r="K49" s="2"/>
      <c r="L49" s="2"/>
      <c r="M49" s="2"/>
      <c r="N49" s="2"/>
      <c r="O49" s="2"/>
      <c r="P49" s="2"/>
      <c r="Q49" s="2"/>
      <c r="R49" s="2"/>
      <c r="S49" s="2"/>
      <c r="T49" s="2"/>
      <c r="U49" s="2"/>
      <c r="V49" s="2"/>
      <c r="W49" s="2"/>
      <c r="X49" s="2"/>
    </row>
    <row r="50" spans="1:24">
      <c r="A50" s="2"/>
      <c r="B50" s="2"/>
      <c r="C50" s="2"/>
      <c r="D50" s="2"/>
      <c r="E50" s="2"/>
      <c r="F50" s="2"/>
      <c r="G50" s="2"/>
      <c r="H50" s="2"/>
      <c r="I50" s="2"/>
      <c r="J50" s="2"/>
      <c r="K50" s="2"/>
      <c r="L50" s="2"/>
      <c r="M50" s="2"/>
      <c r="N50" s="2"/>
      <c r="O50" s="2"/>
      <c r="P50" s="2"/>
      <c r="Q50" s="2"/>
      <c r="R50" s="2"/>
      <c r="S50" s="2"/>
      <c r="T50" s="2"/>
      <c r="U50" s="2"/>
      <c r="V50" s="2"/>
      <c r="W50" s="2"/>
      <c r="X50" s="2"/>
    </row>
    <row r="51" spans="1:24">
      <c r="A51" s="2"/>
      <c r="B51" s="2"/>
      <c r="C51" s="2"/>
      <c r="D51" s="2"/>
      <c r="E51" s="2"/>
      <c r="F51" s="2"/>
      <c r="G51" s="2"/>
      <c r="H51" s="2"/>
      <c r="I51" s="2"/>
      <c r="J51" s="2"/>
      <c r="K51" s="2"/>
      <c r="L51" s="2"/>
      <c r="M51" s="2"/>
      <c r="N51" s="2"/>
      <c r="O51" s="2"/>
      <c r="P51" s="2"/>
      <c r="Q51" s="2"/>
      <c r="R51" s="2"/>
      <c r="S51" s="2"/>
      <c r="T51" s="2"/>
      <c r="U51" s="2"/>
      <c r="V51" s="2"/>
      <c r="W51" s="2"/>
      <c r="X51" s="2"/>
    </row>
    <row r="52" spans="1:24">
      <c r="A52" s="2"/>
      <c r="B52" s="2"/>
      <c r="C52" s="2"/>
      <c r="D52" s="2"/>
      <c r="E52" s="2"/>
      <c r="F52" s="2"/>
      <c r="G52" s="2"/>
      <c r="H52" s="2"/>
      <c r="I52" s="2"/>
      <c r="J52" s="2"/>
      <c r="K52" s="2"/>
      <c r="L52" s="2"/>
      <c r="M52" s="2"/>
      <c r="N52" s="2"/>
      <c r="O52" s="2"/>
      <c r="P52" s="2"/>
      <c r="Q52" s="2"/>
      <c r="R52" s="2"/>
      <c r="S52" s="2"/>
      <c r="T52" s="2"/>
      <c r="U52" s="2"/>
      <c r="V52" s="2"/>
      <c r="W52" s="2"/>
      <c r="X52" s="2"/>
    </row>
    <row r="53" spans="1:24">
      <c r="A53" s="2"/>
      <c r="B53" s="2"/>
      <c r="C53" s="2"/>
      <c r="D53" s="2"/>
      <c r="E53" s="2"/>
      <c r="F53" s="2"/>
      <c r="G53" s="2"/>
      <c r="H53" s="2"/>
      <c r="I53" s="2"/>
      <c r="J53" s="2"/>
      <c r="K53" s="2"/>
      <c r="L53" s="2"/>
      <c r="M53" s="2"/>
      <c r="N53" s="2"/>
      <c r="O53" s="2"/>
      <c r="P53" s="2"/>
      <c r="Q53" s="2"/>
      <c r="R53" s="2"/>
      <c r="S53" s="2"/>
      <c r="T53" s="2"/>
      <c r="U53" s="2"/>
      <c r="V53" s="2"/>
      <c r="W53" s="2"/>
      <c r="X53" s="2"/>
    </row>
    <row r="54" spans="1:24">
      <c r="A54" s="2"/>
      <c r="B54" s="2"/>
      <c r="C54" s="2"/>
      <c r="D54" s="2"/>
      <c r="E54" s="2"/>
      <c r="F54" s="2"/>
      <c r="G54" s="2"/>
      <c r="H54" s="2"/>
      <c r="I54" s="2"/>
      <c r="J54" s="2"/>
      <c r="K54" s="2"/>
      <c r="L54" s="2"/>
      <c r="M54" s="2"/>
      <c r="N54" s="2"/>
      <c r="O54" s="2"/>
      <c r="P54" s="2"/>
      <c r="Q54" s="2"/>
      <c r="R54" s="2"/>
      <c r="S54" s="2"/>
      <c r="T54" s="2"/>
      <c r="U54" s="2"/>
      <c r="V54" s="2"/>
      <c r="W54" s="2"/>
      <c r="X54" s="2"/>
    </row>
    <row r="55" spans="1:24">
      <c r="A55" s="2"/>
      <c r="B55" s="2"/>
      <c r="C55" s="2"/>
      <c r="D55" s="2"/>
      <c r="E55" s="2"/>
      <c r="F55" s="2"/>
      <c r="G55" s="2"/>
      <c r="H55" s="2"/>
      <c r="I55" s="2"/>
      <c r="J55" s="2"/>
      <c r="K55" s="2"/>
      <c r="L55" s="2"/>
      <c r="M55" s="2"/>
      <c r="N55" s="2"/>
      <c r="O55" s="2"/>
      <c r="P55" s="2"/>
      <c r="Q55" s="2"/>
      <c r="R55" s="2"/>
      <c r="S55" s="2"/>
      <c r="T55" s="2"/>
      <c r="U55" s="2"/>
      <c r="V55" s="2"/>
      <c r="W55" s="2"/>
      <c r="X55" s="2"/>
    </row>
    <row r="56" spans="1:24">
      <c r="A56" s="2"/>
      <c r="B56" s="2"/>
      <c r="C56" s="2"/>
      <c r="D56" s="2"/>
      <c r="E56" s="2"/>
      <c r="F56" s="2"/>
      <c r="G56" s="2"/>
      <c r="H56" s="2"/>
      <c r="I56" s="2"/>
      <c r="J56" s="2"/>
      <c r="K56" s="2"/>
      <c r="L56" s="2"/>
      <c r="M56" s="2"/>
      <c r="N56" s="2"/>
      <c r="O56" s="2"/>
      <c r="P56" s="2"/>
      <c r="Q56" s="2"/>
      <c r="R56" s="2"/>
      <c r="S56" s="2"/>
      <c r="T56" s="2"/>
      <c r="U56" s="2"/>
      <c r="V56" s="2"/>
      <c r="W56" s="2"/>
      <c r="X56" s="2"/>
    </row>
    <row r="57" spans="1:24">
      <c r="A57" s="2"/>
      <c r="B57" s="2"/>
      <c r="C57" s="2"/>
      <c r="D57" s="2"/>
      <c r="E57" s="2"/>
      <c r="F57" s="2"/>
      <c r="G57" s="2"/>
      <c r="H57" s="2"/>
      <c r="I57" s="2"/>
      <c r="J57" s="2"/>
      <c r="K57" s="2"/>
      <c r="L57" s="2"/>
      <c r="M57" s="2"/>
      <c r="N57" s="2"/>
      <c r="O57" s="2"/>
      <c r="P57" s="2"/>
      <c r="Q57" s="2"/>
      <c r="R57" s="2"/>
      <c r="S57" s="2"/>
      <c r="T57" s="2"/>
      <c r="U57" s="2"/>
      <c r="V57" s="2"/>
      <c r="W57" s="2"/>
      <c r="X57" s="2"/>
    </row>
    <row r="58" spans="1:24">
      <c r="A58" s="2"/>
      <c r="B58" s="2"/>
      <c r="C58" s="2"/>
      <c r="D58" s="2"/>
      <c r="E58" s="2"/>
      <c r="F58" s="2"/>
      <c r="G58" s="2"/>
      <c r="H58" s="2"/>
      <c r="I58" s="2"/>
      <c r="J58" s="2"/>
      <c r="K58" s="2"/>
      <c r="L58" s="2"/>
      <c r="M58" s="2"/>
      <c r="N58" s="2"/>
      <c r="O58" s="2"/>
      <c r="P58" s="2"/>
      <c r="Q58" s="2"/>
      <c r="R58" s="2"/>
      <c r="S58" s="2"/>
      <c r="T58" s="2"/>
      <c r="U58" s="2"/>
      <c r="V58" s="2"/>
      <c r="W58" s="2"/>
      <c r="X58" s="2"/>
    </row>
    <row r="59" spans="1:24">
      <c r="A59" s="2"/>
      <c r="B59" s="2"/>
      <c r="C59" s="2"/>
      <c r="D59" s="2"/>
      <c r="E59" s="2"/>
      <c r="F59" s="2"/>
      <c r="G59" s="2"/>
      <c r="H59" s="2"/>
      <c r="I59" s="2"/>
      <c r="J59" s="2"/>
      <c r="K59" s="2"/>
      <c r="L59" s="2"/>
      <c r="M59" s="2"/>
      <c r="N59" s="2"/>
      <c r="O59" s="2"/>
      <c r="P59" s="2"/>
      <c r="Q59" s="2"/>
      <c r="R59" s="2"/>
      <c r="S59" s="2"/>
      <c r="T59" s="2"/>
      <c r="U59" s="2"/>
      <c r="V59" s="2"/>
      <c r="W59" s="2"/>
      <c r="X59" s="2"/>
    </row>
    <row r="60" spans="1:24">
      <c r="A60" s="2"/>
      <c r="B60" s="2"/>
      <c r="C60" s="2"/>
      <c r="D60" s="2"/>
      <c r="E60" s="2"/>
      <c r="F60" s="2"/>
      <c r="G60" s="2"/>
      <c r="H60" s="2"/>
      <c r="I60" s="2"/>
      <c r="J60" s="2"/>
      <c r="K60" s="2"/>
      <c r="L60" s="2"/>
      <c r="M60" s="2"/>
      <c r="N60" s="2"/>
      <c r="O60" s="2"/>
      <c r="P60" s="2"/>
      <c r="Q60" s="2"/>
      <c r="R60" s="2"/>
      <c r="S60" s="2"/>
      <c r="T60" s="2"/>
      <c r="U60" s="2"/>
      <c r="V60" s="2"/>
      <c r="W60" s="2"/>
      <c r="X60" s="2"/>
    </row>
    <row r="61" spans="1:24">
      <c r="A61" s="2"/>
      <c r="B61" s="2"/>
      <c r="C61" s="2"/>
      <c r="D61" s="2"/>
      <c r="E61" s="2"/>
      <c r="F61" s="2"/>
      <c r="G61" s="2"/>
      <c r="H61" s="2"/>
      <c r="I61" s="2"/>
      <c r="J61" s="2"/>
      <c r="K61" s="2"/>
      <c r="L61" s="2"/>
      <c r="M61" s="2"/>
      <c r="N61" s="2"/>
      <c r="O61" s="2"/>
      <c r="P61" s="2"/>
      <c r="Q61" s="2"/>
      <c r="R61" s="2"/>
      <c r="S61" s="2"/>
      <c r="T61" s="2"/>
      <c r="U61" s="2"/>
      <c r="V61" s="2"/>
      <c r="W61" s="2"/>
      <c r="X61" s="2"/>
    </row>
    <row r="62" spans="1:24">
      <c r="A62" s="2"/>
      <c r="B62" s="2"/>
      <c r="C62" s="2"/>
      <c r="D62" s="2"/>
      <c r="E62" s="2"/>
      <c r="F62" s="2"/>
      <c r="G62" s="2"/>
      <c r="H62" s="2"/>
      <c r="I62" s="2"/>
      <c r="J62" s="2"/>
      <c r="K62" s="2"/>
      <c r="L62" s="2"/>
      <c r="M62" s="2"/>
      <c r="N62" s="2"/>
      <c r="O62" s="2"/>
      <c r="P62" s="2"/>
      <c r="Q62" s="2"/>
      <c r="R62" s="2"/>
      <c r="S62" s="2"/>
      <c r="T62" s="2"/>
      <c r="U62" s="2"/>
      <c r="V62" s="2"/>
      <c r="W62" s="2"/>
      <c r="X62" s="2"/>
    </row>
    <row r="63" spans="1:24">
      <c r="A63" s="2"/>
      <c r="B63" s="2"/>
      <c r="C63" s="2"/>
      <c r="D63" s="2"/>
      <c r="E63" s="2"/>
      <c r="F63" s="2"/>
      <c r="G63" s="2"/>
      <c r="H63" s="2"/>
      <c r="I63" s="2"/>
      <c r="J63" s="2"/>
      <c r="K63" s="2"/>
      <c r="L63" s="2"/>
      <c r="M63" s="2"/>
      <c r="N63" s="2"/>
      <c r="O63" s="2"/>
      <c r="P63" s="2"/>
      <c r="Q63" s="2"/>
      <c r="R63" s="2"/>
      <c r="S63" s="2"/>
      <c r="T63" s="2"/>
      <c r="U63" s="2"/>
      <c r="V63" s="2"/>
      <c r="W63" s="2"/>
      <c r="X63" s="2"/>
    </row>
    <row r="64" spans="1:24">
      <c r="A64" s="2"/>
      <c r="B64" s="2"/>
      <c r="C64" s="2"/>
      <c r="D64" s="2"/>
      <c r="E64" s="2"/>
      <c r="F64" s="2"/>
      <c r="G64" s="2"/>
      <c r="H64" s="2"/>
      <c r="I64" s="2"/>
      <c r="J64" s="2"/>
      <c r="K64" s="2"/>
      <c r="L64" s="2"/>
      <c r="M64" s="2"/>
      <c r="N64" s="2"/>
      <c r="O64" s="2"/>
      <c r="P64" s="2"/>
      <c r="Q64" s="2"/>
      <c r="R64" s="2"/>
      <c r="S64" s="2"/>
      <c r="T64" s="2"/>
      <c r="U64" s="2"/>
      <c r="V64" s="2"/>
      <c r="W64" s="2"/>
      <c r="X64" s="2"/>
    </row>
    <row r="65" spans="1:24">
      <c r="A65" s="2"/>
      <c r="B65" s="2"/>
      <c r="C65" s="2"/>
      <c r="D65" s="2"/>
      <c r="E65" s="2"/>
      <c r="F65" s="2"/>
      <c r="G65" s="2"/>
      <c r="H65" s="2"/>
      <c r="I65" s="2"/>
      <c r="J65" s="2"/>
      <c r="K65" s="2"/>
      <c r="L65" s="2"/>
      <c r="M65" s="2"/>
      <c r="N65" s="2"/>
      <c r="O65" s="2"/>
      <c r="P65" s="2"/>
      <c r="Q65" s="2"/>
      <c r="R65" s="2"/>
      <c r="S65" s="2"/>
      <c r="T65" s="2"/>
      <c r="U65" s="2"/>
      <c r="V65" s="2"/>
      <c r="W65" s="2"/>
      <c r="X65" s="2"/>
    </row>
    <row r="66" spans="1:24">
      <c r="A66" s="2"/>
      <c r="B66" s="2"/>
      <c r="C66" s="2"/>
      <c r="D66" s="2"/>
      <c r="E66" s="2"/>
      <c r="F66" s="2"/>
      <c r="G66" s="2"/>
      <c r="H66" s="2"/>
      <c r="I66" s="2"/>
      <c r="J66" s="2"/>
      <c r="K66" s="2"/>
      <c r="L66" s="2"/>
      <c r="M66" s="2"/>
      <c r="N66" s="2"/>
      <c r="O66" s="2"/>
      <c r="P66" s="2"/>
      <c r="Q66" s="2"/>
      <c r="R66" s="2"/>
      <c r="S66" s="2"/>
      <c r="T66" s="2"/>
      <c r="U66" s="2"/>
      <c r="V66" s="2"/>
      <c r="W66" s="2"/>
      <c r="X66" s="2"/>
    </row>
    <row r="67" spans="1:24">
      <c r="A67" s="2"/>
      <c r="B67" s="2"/>
      <c r="C67" s="2"/>
      <c r="D67" s="2"/>
      <c r="E67" s="2"/>
      <c r="F67" s="2"/>
      <c r="G67" s="2"/>
      <c r="H67" s="2"/>
      <c r="I67" s="2"/>
      <c r="J67" s="2"/>
      <c r="K67" s="2"/>
      <c r="L67" s="2"/>
      <c r="M67" s="2"/>
      <c r="N67" s="2"/>
      <c r="O67" s="2"/>
      <c r="P67" s="2"/>
      <c r="Q67" s="2"/>
      <c r="R67" s="2"/>
      <c r="S67" s="2"/>
      <c r="T67" s="2"/>
      <c r="U67" s="2"/>
      <c r="V67" s="2"/>
      <c r="W67" s="2"/>
      <c r="X67" s="2"/>
    </row>
    <row r="68" spans="1:24">
      <c r="A68" s="2"/>
      <c r="B68" s="2"/>
      <c r="C68" s="2"/>
      <c r="D68" s="2"/>
      <c r="E68" s="2"/>
      <c r="F68" s="2"/>
      <c r="G68" s="2"/>
      <c r="H68" s="2"/>
      <c r="I68" s="2"/>
      <c r="J68" s="2"/>
      <c r="K68" s="2"/>
      <c r="L68" s="2"/>
      <c r="M68" s="2"/>
      <c r="N68" s="2"/>
      <c r="O68" s="2"/>
      <c r="P68" s="2"/>
      <c r="Q68" s="2"/>
      <c r="R68" s="2"/>
      <c r="S68" s="2"/>
      <c r="T68" s="2"/>
      <c r="U68" s="2"/>
      <c r="V68" s="2"/>
      <c r="W68" s="2"/>
      <c r="X68" s="2"/>
    </row>
    <row r="69" spans="1:24">
      <c r="A69" s="2"/>
      <c r="B69" s="2"/>
      <c r="C69" s="2"/>
      <c r="D69" s="2"/>
      <c r="E69" s="2"/>
      <c r="F69" s="2"/>
      <c r="G69" s="2"/>
      <c r="H69" s="2"/>
      <c r="I69" s="2"/>
      <c r="J69" s="2"/>
      <c r="K69" s="2"/>
      <c r="L69" s="2"/>
      <c r="M69" s="2"/>
      <c r="N69" s="2"/>
      <c r="O69" s="2"/>
      <c r="P69" s="2"/>
      <c r="Q69" s="2"/>
      <c r="R69" s="2"/>
      <c r="S69" s="2"/>
      <c r="T69" s="2"/>
      <c r="U69" s="2"/>
      <c r="V69" s="2"/>
      <c r="W69" s="2"/>
      <c r="X69" s="2"/>
    </row>
    <row r="70" spans="1:24">
      <c r="A70" s="2"/>
      <c r="B70" s="2"/>
      <c r="C70" s="2"/>
      <c r="D70" s="2"/>
      <c r="E70" s="2"/>
      <c r="F70" s="2"/>
      <c r="G70" s="2"/>
      <c r="H70" s="2"/>
      <c r="I70" s="2"/>
      <c r="J70" s="2"/>
      <c r="K70" s="2"/>
      <c r="L70" s="2"/>
      <c r="M70" s="2"/>
      <c r="N70" s="2"/>
      <c r="O70" s="2"/>
      <c r="P70" s="2"/>
      <c r="Q70" s="2"/>
      <c r="R70" s="2"/>
      <c r="S70" s="2"/>
      <c r="T70" s="2"/>
      <c r="U70" s="2"/>
      <c r="V70" s="2"/>
      <c r="W70" s="2"/>
      <c r="X70" s="2"/>
    </row>
    <row r="71" spans="1:24">
      <c r="A71" s="2"/>
      <c r="B71" s="2"/>
      <c r="C71" s="2"/>
      <c r="D71" s="2"/>
      <c r="E71" s="2"/>
      <c r="F71" s="2"/>
      <c r="G71" s="2"/>
      <c r="H71" s="2"/>
      <c r="I71" s="2"/>
      <c r="J71" s="2"/>
      <c r="K71" s="2"/>
      <c r="L71" s="2"/>
      <c r="M71" s="2"/>
      <c r="N71" s="2"/>
      <c r="O71" s="2"/>
      <c r="P71" s="2"/>
      <c r="Q71" s="2"/>
      <c r="R71" s="2"/>
      <c r="S71" s="2"/>
      <c r="T71" s="2"/>
      <c r="U71" s="2"/>
      <c r="V71" s="2"/>
      <c r="W71" s="2"/>
      <c r="X71" s="2"/>
    </row>
    <row r="72" spans="1:24">
      <c r="A72" s="2"/>
      <c r="B72" s="2"/>
      <c r="C72" s="2"/>
      <c r="D72" s="2"/>
      <c r="E72" s="2"/>
      <c r="F72" s="2"/>
      <c r="G72" s="2"/>
      <c r="H72" s="2"/>
      <c r="I72" s="2"/>
      <c r="J72" s="2"/>
      <c r="K72" s="2"/>
      <c r="L72" s="2"/>
      <c r="M72" s="2"/>
      <c r="N72" s="2"/>
      <c r="O72" s="2"/>
      <c r="P72" s="2"/>
      <c r="Q72" s="2"/>
      <c r="R72" s="2"/>
      <c r="S72" s="2"/>
      <c r="T72" s="2"/>
      <c r="U72" s="2"/>
      <c r="V72" s="2"/>
      <c r="W72" s="2"/>
      <c r="X72" s="2"/>
    </row>
    <row r="73" spans="1:24">
      <c r="A73" s="2"/>
      <c r="B73" s="2"/>
      <c r="C73" s="2"/>
      <c r="D73" s="2"/>
      <c r="E73" s="2"/>
      <c r="F73" s="2"/>
      <c r="G73" s="2"/>
      <c r="H73" s="2"/>
      <c r="I73" s="2"/>
      <c r="J73" s="2"/>
      <c r="K73" s="2"/>
      <c r="L73" s="2"/>
      <c r="M73" s="2"/>
      <c r="N73" s="2"/>
      <c r="O73" s="2"/>
      <c r="P73" s="2"/>
      <c r="Q73" s="2"/>
      <c r="R73" s="2"/>
      <c r="S73" s="2"/>
      <c r="T73" s="2"/>
      <c r="U73" s="2"/>
      <c r="V73" s="2"/>
      <c r="W73" s="2"/>
      <c r="X73" s="2"/>
    </row>
    <row r="74" spans="1:24">
      <c r="A74" s="2"/>
      <c r="B74" s="2"/>
      <c r="C74" s="2"/>
      <c r="D74" s="2"/>
      <c r="E74" s="2"/>
      <c r="F74" s="2"/>
      <c r="G74" s="2"/>
      <c r="H74" s="2"/>
      <c r="I74" s="2"/>
      <c r="J74" s="2"/>
      <c r="K74" s="2"/>
      <c r="L74" s="2"/>
      <c r="M74" s="2"/>
      <c r="N74" s="2"/>
      <c r="O74" s="2"/>
      <c r="P74" s="2"/>
      <c r="Q74" s="2"/>
      <c r="R74" s="2"/>
      <c r="S74" s="2"/>
      <c r="T74" s="2"/>
      <c r="U74" s="2"/>
      <c r="V74" s="2"/>
      <c r="W74" s="2"/>
      <c r="X74" s="2"/>
    </row>
    <row r="75" spans="1:24">
      <c r="A75" s="2"/>
      <c r="B75" s="2"/>
      <c r="C75" s="2"/>
      <c r="D75" s="2"/>
      <c r="E75" s="2"/>
      <c r="F75" s="2"/>
      <c r="G75" s="2"/>
      <c r="H75" s="2"/>
      <c r="I75" s="2"/>
      <c r="J75" s="2"/>
      <c r="K75" s="2"/>
      <c r="L75" s="2"/>
      <c r="M75" s="2"/>
      <c r="N75" s="2"/>
      <c r="O75" s="2"/>
      <c r="P75" s="2"/>
      <c r="Q75" s="2"/>
      <c r="R75" s="2"/>
      <c r="S75" s="2"/>
      <c r="T75" s="2"/>
      <c r="U75" s="2"/>
      <c r="V75" s="2"/>
      <c r="W75" s="2"/>
      <c r="X75" s="2"/>
    </row>
    <row r="76" spans="1:24">
      <c r="A76" s="2"/>
      <c r="B76" s="2"/>
      <c r="C76" s="2"/>
      <c r="D76" s="2"/>
      <c r="E76" s="2"/>
      <c r="F76" s="2"/>
      <c r="G76" s="2"/>
      <c r="H76" s="2"/>
      <c r="I76" s="2"/>
      <c r="J76" s="2"/>
      <c r="K76" s="2"/>
      <c r="L76" s="2"/>
      <c r="M76" s="2"/>
      <c r="N76" s="2"/>
      <c r="O76" s="2"/>
      <c r="P76" s="2"/>
      <c r="Q76" s="2"/>
      <c r="R76" s="2"/>
      <c r="S76" s="2"/>
      <c r="T76" s="2"/>
      <c r="U76" s="2"/>
      <c r="V76" s="2"/>
      <c r="W76" s="2"/>
      <c r="X76" s="2"/>
    </row>
    <row r="77" spans="1:24">
      <c r="A77" s="2"/>
      <c r="B77" s="2"/>
      <c r="C77" s="2"/>
      <c r="D77" s="2"/>
      <c r="E77" s="2"/>
      <c r="F77" s="2"/>
      <c r="G77" s="2"/>
      <c r="H77" s="2"/>
      <c r="I77" s="2"/>
      <c r="J77" s="2"/>
      <c r="K77" s="2"/>
      <c r="L77" s="2"/>
      <c r="M77" s="2"/>
      <c r="N77" s="2"/>
      <c r="O77" s="2"/>
      <c r="P77" s="2"/>
      <c r="Q77" s="2"/>
      <c r="R77" s="2"/>
      <c r="S77" s="2"/>
      <c r="T77" s="2"/>
      <c r="U77" s="2"/>
      <c r="V77" s="2"/>
      <c r="W77" s="2"/>
      <c r="X77" s="2"/>
    </row>
    <row r="78" spans="1:24">
      <c r="A78" s="2"/>
      <c r="B78" s="2"/>
      <c r="C78" s="2"/>
      <c r="D78" s="2"/>
      <c r="E78" s="2"/>
      <c r="F78" s="2"/>
      <c r="G78" s="2"/>
      <c r="H78" s="2"/>
      <c r="I78" s="2"/>
      <c r="J78" s="2"/>
      <c r="K78" s="2"/>
      <c r="L78" s="2"/>
      <c r="M78" s="2"/>
      <c r="N78" s="2"/>
      <c r="O78" s="2"/>
      <c r="P78" s="2"/>
      <c r="Q78" s="2"/>
      <c r="R78" s="2"/>
      <c r="S78" s="2"/>
      <c r="T78" s="2"/>
      <c r="U78" s="2"/>
      <c r="V78" s="2"/>
      <c r="W78" s="2"/>
      <c r="X78" s="2"/>
    </row>
    <row r="79" spans="1:24">
      <c r="A79" s="2"/>
      <c r="B79" s="2"/>
      <c r="C79" s="2"/>
      <c r="D79" s="2"/>
      <c r="E79" s="2"/>
      <c r="F79" s="2"/>
      <c r="G79" s="2"/>
      <c r="H79" s="2"/>
      <c r="I79" s="2"/>
      <c r="J79" s="2"/>
      <c r="K79" s="2"/>
      <c r="L79" s="2"/>
      <c r="M79" s="2"/>
      <c r="N79" s="2"/>
      <c r="O79" s="2"/>
      <c r="P79" s="2"/>
      <c r="Q79" s="2"/>
      <c r="R79" s="2"/>
      <c r="S79" s="2"/>
      <c r="T79" s="2"/>
      <c r="U79" s="2"/>
      <c r="V79" s="2"/>
      <c r="W79" s="2"/>
      <c r="X79" s="2"/>
    </row>
    <row r="80" spans="1:24">
      <c r="A80" s="2"/>
      <c r="B80" s="2"/>
      <c r="C80" s="2"/>
      <c r="D80" s="2"/>
      <c r="E80" s="2"/>
      <c r="F80" s="2"/>
      <c r="G80" s="2"/>
      <c r="H80" s="2"/>
      <c r="I80" s="2"/>
      <c r="J80" s="2"/>
      <c r="K80" s="2"/>
      <c r="L80" s="2"/>
      <c r="M80" s="2"/>
      <c r="N80" s="2"/>
      <c r="O80" s="2"/>
      <c r="P80" s="2"/>
      <c r="Q80" s="2"/>
      <c r="R80" s="2"/>
      <c r="S80" s="2"/>
      <c r="T80" s="2"/>
      <c r="U80" s="2"/>
      <c r="V80" s="2"/>
      <c r="W80" s="2"/>
      <c r="X80" s="2"/>
    </row>
  </sheetData>
  <conditionalFormatting sqref="E2:J39">
    <cfRule type="colorScale" priority="1">
      <colorScale>
        <cfvo type="min"/>
        <cfvo type="percentile" val="50"/>
        <cfvo type="max"/>
        <color rgb="FFFECACA"/>
        <color rgb="FFFEF3C7"/>
        <color rgb="FFDCFCE7"/>
      </colorScale>
    </cfRule>
  </conditionalFormatting>
  <conditionalFormatting sqref="J2:J39">
    <cfRule type="colorScale" priority="3">
      <colorScale>
        <cfvo type="min"/>
        <cfvo type="percentile" val="50"/>
        <cfvo type="max"/>
        <color rgb="FFDCFCE7"/>
        <color rgb="FFFEF3C7"/>
        <color rgb="FFFECACA"/>
      </colorScale>
    </cfRule>
  </conditionalFormatting>
  <conditionalFormatting sqref="K2:K39">
    <cfRule type="colorScale" priority="2">
      <colorScale>
        <cfvo type="min"/>
        <cfvo type="percentile" val="50"/>
        <cfvo type="max"/>
        <color rgb="FFFECACA"/>
        <color rgb="FFFEF3C7"/>
        <color rgb="FFDCFCE7"/>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80"/>
  <sheetViews>
    <sheetView workbookViewId="0">
      <selection activeCell="B3" sqref="B3"/>
    </sheetView>
  </sheetViews>
  <sheetFormatPr defaultRowHeight="14"/>
  <cols>
    <col min="1" max="1" width="30" customWidth="1"/>
    <col min="2" max="2" width="22.75" customWidth="1"/>
    <col min="3" max="3" width="10.75" customWidth="1"/>
    <col min="4" max="4" width="8.4140625" customWidth="1"/>
    <col min="5" max="5" width="10.25" customWidth="1"/>
    <col min="6" max="6" width="19.25" customWidth="1"/>
  </cols>
  <sheetData>
    <row r="1" spans="1:24" ht="8.25" customHeight="1">
      <c r="A1" s="58" t="s">
        <v>548</v>
      </c>
      <c r="B1" s="53"/>
      <c r="C1" s="53"/>
      <c r="D1" s="53"/>
      <c r="E1" s="53"/>
      <c r="F1" s="53"/>
      <c r="G1" s="53"/>
      <c r="H1" s="53"/>
      <c r="I1" s="2"/>
      <c r="J1" s="2"/>
      <c r="K1" s="2"/>
      <c r="L1" s="2"/>
      <c r="M1" s="2"/>
      <c r="N1" s="2"/>
      <c r="O1" s="2"/>
      <c r="P1" s="2"/>
      <c r="Q1" s="2"/>
      <c r="R1" s="2"/>
      <c r="S1" s="2"/>
      <c r="T1" s="2"/>
      <c r="U1" s="2"/>
      <c r="V1" s="2"/>
      <c r="W1" s="2"/>
      <c r="X1" s="2"/>
    </row>
    <row r="2" spans="1:24" ht="14.5">
      <c r="A2" s="59" t="s">
        <v>549</v>
      </c>
      <c r="B2" s="53"/>
      <c r="C2" s="53"/>
      <c r="D2" s="53"/>
      <c r="E2" s="53"/>
      <c r="F2" s="53"/>
      <c r="G2" s="53"/>
      <c r="H2" s="53"/>
      <c r="I2" s="2"/>
      <c r="J2" s="2"/>
      <c r="K2" s="2"/>
      <c r="L2" s="2"/>
      <c r="M2" s="2"/>
      <c r="N2" s="2"/>
      <c r="O2" s="2"/>
      <c r="P2" s="2"/>
      <c r="Q2" s="2"/>
      <c r="R2" s="2"/>
      <c r="S2" s="2"/>
      <c r="T2" s="2"/>
      <c r="U2" s="2"/>
      <c r="V2" s="2"/>
      <c r="W2" s="2"/>
      <c r="X2" s="2"/>
    </row>
    <row r="3" spans="1:24">
      <c r="A3" s="6" t="s">
        <v>550</v>
      </c>
      <c r="B3" s="7" t="s">
        <v>470</v>
      </c>
      <c r="C3" s="2"/>
      <c r="D3" s="2"/>
      <c r="E3" s="2"/>
      <c r="F3" s="2"/>
      <c r="G3" s="2"/>
      <c r="H3" s="2"/>
      <c r="I3" s="2"/>
      <c r="J3" s="2"/>
      <c r="K3" s="2"/>
      <c r="L3" s="2"/>
      <c r="M3" s="2"/>
      <c r="N3" s="2"/>
      <c r="O3" s="2"/>
      <c r="P3" s="2"/>
      <c r="Q3" s="2"/>
      <c r="R3" s="2"/>
      <c r="S3" s="2"/>
      <c r="T3" s="2"/>
      <c r="U3" s="2"/>
      <c r="V3" s="2"/>
      <c r="W3" s="2"/>
      <c r="X3" s="2"/>
    </row>
    <row r="4" spans="1:24">
      <c r="A4" s="2"/>
      <c r="B4" s="2"/>
      <c r="C4" s="2"/>
      <c r="D4" s="2"/>
      <c r="E4" s="2"/>
      <c r="F4" s="2"/>
      <c r="G4" s="2"/>
      <c r="H4" s="2"/>
      <c r="I4" s="2"/>
      <c r="J4" s="2"/>
      <c r="K4" s="2"/>
      <c r="L4" s="2"/>
      <c r="M4" s="2"/>
      <c r="N4" s="2"/>
      <c r="O4" s="2"/>
      <c r="P4" s="2"/>
      <c r="Q4" s="2"/>
      <c r="R4" s="2"/>
      <c r="S4" s="2"/>
      <c r="T4" s="2"/>
      <c r="U4" s="2"/>
      <c r="V4" s="2"/>
      <c r="W4" s="2"/>
      <c r="X4" s="2"/>
    </row>
    <row r="5" spans="1:24" ht="29">
      <c r="A5" s="8" t="s">
        <v>10</v>
      </c>
      <c r="B5" s="9">
        <f>IFERROR(INDEX('Master Data'!$K$2:$K$46,MATCH($B$3,'Master Data'!$A$2:$A$46,0)),"")</f>
        <v>77.099999999999994</v>
      </c>
      <c r="C5" s="8" t="s">
        <v>11</v>
      </c>
      <c r="D5" s="10" t="str">
        <f>IFERROR(INDEX('Master Data'!$L$2:$L$46,MATCH($B$3,'Master Data'!$A$2:$A$46,0)),"")</f>
        <v>B</v>
      </c>
      <c r="E5" s="8" t="s">
        <v>12</v>
      </c>
      <c r="F5" s="60" t="str">
        <f>IFERROR(INDEX('Master Data'!$M$2:$M$46,MATCH($B$3,'Master Data'!$A$2:$A$46,0)),"")</f>
        <v>Best Tier 5 survival pick</v>
      </c>
      <c r="G5" s="53"/>
      <c r="H5" s="53"/>
      <c r="I5" s="2"/>
      <c r="J5" s="2"/>
      <c r="K5" s="2"/>
      <c r="L5" s="2"/>
      <c r="M5" s="2"/>
      <c r="N5" s="2"/>
      <c r="O5" s="2"/>
      <c r="P5" s="2"/>
      <c r="Q5" s="2"/>
      <c r="R5" s="2"/>
      <c r="S5" s="2"/>
      <c r="T5" s="2"/>
      <c r="U5" s="2"/>
      <c r="V5" s="2"/>
      <c r="W5" s="2"/>
      <c r="X5" s="2"/>
    </row>
    <row r="6" spans="1:24">
      <c r="A6" s="2"/>
      <c r="B6" s="2"/>
      <c r="C6" s="2"/>
      <c r="D6" s="2"/>
      <c r="E6" s="2"/>
      <c r="F6" s="2"/>
      <c r="G6" s="2"/>
      <c r="H6" s="2"/>
      <c r="I6" s="2"/>
      <c r="J6" s="2"/>
      <c r="K6" s="2"/>
      <c r="L6" s="2"/>
      <c r="M6" s="2"/>
      <c r="N6" s="2"/>
      <c r="O6" s="2"/>
      <c r="P6" s="2"/>
      <c r="Q6" s="2"/>
      <c r="R6" s="2"/>
      <c r="S6" s="2"/>
      <c r="T6" s="2"/>
      <c r="U6" s="2"/>
      <c r="V6" s="2"/>
      <c r="W6" s="2"/>
      <c r="X6" s="2"/>
    </row>
    <row r="7" spans="1:24" ht="28">
      <c r="A7" s="8" t="s">
        <v>1</v>
      </c>
      <c r="B7" s="2" t="str">
        <f>IFERROR(INDEX('Master Data'!$B$2:$B$46,MATCH($B$3,'Master Data'!$A$2:$A$46,0)),"")</f>
        <v>PGA</v>
      </c>
      <c r="C7" s="8" t="s">
        <v>2</v>
      </c>
      <c r="D7" s="2" t="str">
        <f>IFERROR(INDEX('Master Data'!$C$2:$C$46,MATCH($B$3,'Master Data'!$A$2:$A$46,0)),"")</f>
        <v>Veteran Grinder</v>
      </c>
      <c r="E7" s="8" t="s">
        <v>551</v>
      </c>
      <c r="F7" s="2" t="str">
        <f>IFERROR(INDEX('Master Data'!$D$2:$D$46,MATCH($B$3,'Master Data'!$A$2:$A$46,0)),"")</f>
        <v>Tier 5 cut-first pick</v>
      </c>
      <c r="G7" s="2"/>
      <c r="H7" s="2"/>
      <c r="I7" s="2"/>
      <c r="J7" s="2"/>
      <c r="K7" s="2"/>
      <c r="L7" s="2"/>
      <c r="M7" s="2"/>
      <c r="N7" s="2"/>
      <c r="O7" s="2"/>
      <c r="P7" s="2"/>
      <c r="Q7" s="2"/>
      <c r="R7" s="2"/>
      <c r="S7" s="2"/>
      <c r="T7" s="2"/>
      <c r="U7" s="2"/>
      <c r="V7" s="2"/>
      <c r="W7" s="2"/>
      <c r="X7" s="2"/>
    </row>
    <row r="8" spans="1:24">
      <c r="A8" s="2"/>
      <c r="B8" s="2"/>
      <c r="C8" s="2"/>
      <c r="D8" s="2"/>
      <c r="E8" s="2"/>
      <c r="F8" s="2"/>
      <c r="G8" s="2"/>
      <c r="H8" s="2"/>
      <c r="I8" s="2"/>
      <c r="J8" s="2"/>
      <c r="K8" s="2"/>
      <c r="L8" s="2"/>
      <c r="M8" s="2"/>
      <c r="N8" s="2"/>
      <c r="O8" s="2"/>
      <c r="P8" s="2"/>
      <c r="Q8" s="2"/>
      <c r="R8" s="2"/>
      <c r="S8" s="2"/>
      <c r="T8" s="2"/>
      <c r="U8" s="2"/>
      <c r="V8" s="2"/>
      <c r="W8" s="2"/>
      <c r="X8" s="2"/>
    </row>
    <row r="9" spans="1:24" ht="28">
      <c r="A9" s="8" t="s">
        <v>13</v>
      </c>
      <c r="B9" s="2" t="str">
        <f>IFERROR(INDEX('Master Data'!$N$2:$N$46,MATCH($B$3,'Master Data'!$A$2:$A$46,0)),"")</f>
        <v>+2 to +10</v>
      </c>
      <c r="C9" s="8" t="s">
        <v>14</v>
      </c>
      <c r="D9" s="2" t="str">
        <f>IFERROR(INDEX('Master Data'!$O$2:$O$46,MATCH($B$3,'Master Data'!$A$2:$A$46,0)),"")</f>
        <v>T30-type profile</v>
      </c>
      <c r="E9" s="8" t="s">
        <v>15</v>
      </c>
      <c r="F9" s="2" t="str">
        <f>IFERROR(INDEX('Master Data'!$P$2:$P$46,MATCH($B$3,'Master Data'!$A$2:$A$46,0)),"")</f>
        <v>T26-type profile</v>
      </c>
      <c r="G9" s="2"/>
      <c r="H9" s="2"/>
      <c r="I9" s="2"/>
      <c r="J9" s="2"/>
      <c r="K9" s="2"/>
      <c r="L9" s="2"/>
      <c r="M9" s="2"/>
      <c r="N9" s="2"/>
      <c r="O9" s="2"/>
      <c r="P9" s="2"/>
      <c r="Q9" s="2"/>
      <c r="R9" s="2"/>
      <c r="S9" s="2"/>
      <c r="T9" s="2"/>
      <c r="U9" s="2"/>
      <c r="V9" s="2"/>
      <c r="W9" s="2"/>
      <c r="X9" s="2"/>
    </row>
    <row r="10" spans="1:24">
      <c r="A10" s="2"/>
      <c r="B10" s="2"/>
      <c r="C10" s="2"/>
      <c r="D10" s="2"/>
      <c r="E10" s="2"/>
      <c r="F10" s="2"/>
      <c r="G10" s="2"/>
      <c r="H10" s="2"/>
      <c r="I10" s="2"/>
      <c r="J10" s="2"/>
      <c r="K10" s="2"/>
      <c r="L10" s="2"/>
      <c r="M10" s="2"/>
      <c r="N10" s="2"/>
      <c r="O10" s="2"/>
      <c r="P10" s="2"/>
      <c r="Q10" s="2"/>
      <c r="R10" s="2"/>
      <c r="S10" s="2"/>
      <c r="T10" s="2"/>
      <c r="U10" s="2"/>
      <c r="V10" s="2"/>
      <c r="W10" s="2"/>
      <c r="X10" s="2"/>
    </row>
    <row r="11" spans="1:24" ht="28">
      <c r="A11" s="8" t="s">
        <v>4</v>
      </c>
      <c r="B11" s="2">
        <f>IFERROR(INDEX('Master Data'!$E$2:$E$46,MATCH($B$3,'Master Data'!$A$2:$A$46,0)),"")</f>
        <v>7.6</v>
      </c>
      <c r="C11" s="8" t="s">
        <v>5</v>
      </c>
      <c r="D11" s="2">
        <f>IFERROR(INDEX('Master Data'!$F$2:$F$46,MATCH($B$3,'Master Data'!$A$2:$A$46,0)),"")</f>
        <v>8.1</v>
      </c>
      <c r="E11" s="8" t="s">
        <v>7</v>
      </c>
      <c r="F11" s="2">
        <f>IFERROR(INDEX('Master Data'!$H$2:$H$46,MATCH($B$3,'Master Data'!$A$2:$A$46,0)),"")</f>
        <v>8.4</v>
      </c>
      <c r="G11" s="2"/>
      <c r="H11" s="2"/>
      <c r="I11" s="2"/>
      <c r="J11" s="2"/>
      <c r="K11" s="2"/>
      <c r="L11" s="2"/>
      <c r="M11" s="2"/>
      <c r="N11" s="2"/>
      <c r="O11" s="2"/>
      <c r="P11" s="2"/>
      <c r="Q11" s="2"/>
      <c r="R11" s="2"/>
      <c r="S11" s="2"/>
      <c r="T11" s="2"/>
      <c r="U11" s="2"/>
      <c r="V11" s="2"/>
      <c r="W11" s="2"/>
      <c r="X11" s="2"/>
    </row>
    <row r="12" spans="1:24">
      <c r="A12" s="2"/>
      <c r="B12" s="2"/>
      <c r="C12" s="2"/>
      <c r="D12" s="2"/>
      <c r="E12" s="2"/>
      <c r="F12" s="2"/>
      <c r="G12" s="2"/>
      <c r="H12" s="2"/>
      <c r="I12" s="2"/>
      <c r="J12" s="2"/>
      <c r="K12" s="2"/>
      <c r="L12" s="2"/>
      <c r="M12" s="2"/>
      <c r="N12" s="2"/>
      <c r="O12" s="2"/>
      <c r="P12" s="2"/>
      <c r="Q12" s="2"/>
      <c r="R12" s="2"/>
      <c r="S12" s="2"/>
      <c r="T12" s="2"/>
      <c r="U12" s="2"/>
      <c r="V12" s="2"/>
      <c r="W12" s="2"/>
      <c r="X12" s="2"/>
    </row>
    <row r="13" spans="1:24" ht="13.65" customHeight="1">
      <c r="A13" s="8" t="s">
        <v>17</v>
      </c>
      <c r="B13" s="53" t="str">
        <f>IFERROR(INDEX('Master Data'!$R$2:$R$46,MATCH($B$3,'Master Data'!$A$2:$A$46,0)),"")</f>
        <v>T25 at Shinnecock in 2018</v>
      </c>
      <c r="C13" s="53"/>
      <c r="D13" s="53"/>
      <c r="E13" s="53"/>
      <c r="F13" s="53"/>
      <c r="G13" s="53"/>
      <c r="H13" s="53"/>
      <c r="I13" s="2"/>
      <c r="J13" s="2"/>
      <c r="K13" s="2"/>
      <c r="L13" s="2"/>
      <c r="M13" s="2"/>
      <c r="N13" s="2"/>
      <c r="O13" s="2"/>
      <c r="P13" s="2"/>
      <c r="Q13" s="2"/>
      <c r="R13" s="2"/>
      <c r="S13" s="2"/>
      <c r="T13" s="2"/>
      <c r="U13" s="2"/>
      <c r="V13" s="2"/>
      <c r="W13" s="2"/>
      <c r="X13" s="2"/>
    </row>
    <row r="14" spans="1:24" ht="9.5" customHeight="1">
      <c r="A14" s="2"/>
      <c r="B14" s="53"/>
      <c r="C14" s="53"/>
      <c r="D14" s="53"/>
      <c r="E14" s="53"/>
      <c r="F14" s="53"/>
      <c r="G14" s="53"/>
      <c r="H14" s="53"/>
      <c r="I14" s="2"/>
      <c r="J14" s="2"/>
      <c r="K14" s="2"/>
      <c r="L14" s="2"/>
      <c r="M14" s="2"/>
      <c r="N14" s="2"/>
      <c r="O14" s="2"/>
      <c r="P14" s="2"/>
      <c r="Q14" s="2"/>
      <c r="R14" s="2"/>
      <c r="S14" s="2"/>
      <c r="T14" s="2"/>
      <c r="U14" s="2"/>
      <c r="V14" s="2"/>
      <c r="W14" s="2"/>
      <c r="X14" s="2"/>
    </row>
    <row r="15" spans="1:24">
      <c r="A15" s="2"/>
      <c r="B15" s="2"/>
      <c r="C15" s="2"/>
      <c r="D15" s="2"/>
      <c r="E15" s="2"/>
      <c r="F15" s="2"/>
      <c r="G15" s="2"/>
      <c r="H15" s="2"/>
      <c r="I15" s="2"/>
      <c r="J15" s="2"/>
      <c r="K15" s="2"/>
      <c r="L15" s="2"/>
      <c r="M15" s="2"/>
      <c r="N15" s="2"/>
      <c r="O15" s="2"/>
      <c r="P15" s="2"/>
      <c r="Q15" s="2"/>
      <c r="R15" s="2"/>
      <c r="S15" s="2"/>
      <c r="T15" s="2"/>
      <c r="U15" s="2"/>
      <c r="V15" s="2"/>
      <c r="W15" s="2"/>
      <c r="X15" s="2"/>
    </row>
    <row r="16" spans="1:24" ht="9.5" customHeight="1">
      <c r="A16" s="8" t="s">
        <v>18</v>
      </c>
      <c r="B16" s="53" t="str">
        <f>IFERROR(INDEX('Master Data'!$S$2:$S$46,MATCH($B$3,'Master Data'!$A$2:$A$46,0)),"")</f>
        <v>Veteran, wind control, difficult-course comfort</v>
      </c>
      <c r="C16" s="53"/>
      <c r="D16" s="53"/>
      <c r="E16" s="53"/>
      <c r="F16" s="53"/>
      <c r="G16" s="53"/>
      <c r="H16" s="53"/>
      <c r="I16" s="2"/>
      <c r="J16" s="2"/>
      <c r="K16" s="2"/>
      <c r="L16" s="2"/>
      <c r="M16" s="2"/>
      <c r="N16" s="2"/>
      <c r="O16" s="2"/>
      <c r="P16" s="2"/>
      <c r="Q16" s="2"/>
      <c r="R16" s="2"/>
      <c r="S16" s="2"/>
      <c r="T16" s="2"/>
      <c r="U16" s="2"/>
      <c r="V16" s="2"/>
      <c r="W16" s="2"/>
      <c r="X16" s="2"/>
    </row>
    <row r="17" spans="1:24" ht="9.5" customHeight="1">
      <c r="A17" s="2"/>
      <c r="B17" s="53"/>
      <c r="C17" s="53"/>
      <c r="D17" s="53"/>
      <c r="E17" s="53"/>
      <c r="F17" s="53"/>
      <c r="G17" s="53"/>
      <c r="H17" s="53"/>
      <c r="I17" s="2"/>
      <c r="J17" s="2"/>
      <c r="K17" s="2"/>
      <c r="L17" s="2"/>
      <c r="M17" s="2"/>
      <c r="N17" s="2"/>
      <c r="O17" s="2"/>
      <c r="P17" s="2"/>
      <c r="Q17" s="2"/>
      <c r="R17" s="2"/>
      <c r="S17" s="2"/>
      <c r="T17" s="2"/>
      <c r="U17" s="2"/>
      <c r="V17" s="2"/>
      <c r="W17" s="2"/>
      <c r="X17" s="2"/>
    </row>
    <row r="18" spans="1:24">
      <c r="A18" s="2"/>
      <c r="B18" s="2"/>
      <c r="C18" s="2"/>
      <c r="D18" s="2"/>
      <c r="E18" s="2"/>
      <c r="F18" s="2"/>
      <c r="G18" s="2"/>
      <c r="H18" s="2"/>
      <c r="I18" s="2"/>
      <c r="J18" s="2"/>
      <c r="K18" s="2"/>
      <c r="L18" s="2"/>
      <c r="M18" s="2"/>
      <c r="N18" s="2"/>
      <c r="O18" s="2"/>
      <c r="P18" s="2"/>
      <c r="Q18" s="2"/>
      <c r="R18" s="2"/>
      <c r="S18" s="2"/>
      <c r="T18" s="2"/>
      <c r="U18" s="2"/>
      <c r="V18" s="2"/>
      <c r="W18" s="2"/>
      <c r="X18" s="2"/>
    </row>
    <row r="19" spans="1:24" ht="9.5" customHeight="1">
      <c r="A19" s="8" t="s">
        <v>19</v>
      </c>
      <c r="B19" s="54" t="str">
        <f>IFERROR(INDEX('Master Data'!$T$2:$T$46,MATCH($B$3,'Master Data'!$A$2:$A$46,0)),"")</f>
        <v>Can grind pars when scoring gets ugly</v>
      </c>
      <c r="C19" s="54"/>
      <c r="D19" s="54"/>
      <c r="E19" s="54"/>
      <c r="F19" s="54"/>
      <c r="G19" s="54"/>
      <c r="H19" s="54"/>
      <c r="I19" s="2"/>
      <c r="J19" s="2"/>
      <c r="K19" s="2"/>
      <c r="L19" s="2"/>
      <c r="M19" s="2"/>
      <c r="N19" s="2"/>
      <c r="O19" s="2"/>
      <c r="P19" s="2"/>
      <c r="Q19" s="2"/>
      <c r="R19" s="2"/>
      <c r="S19" s="2"/>
      <c r="T19" s="2"/>
      <c r="U19" s="2"/>
      <c r="V19" s="2"/>
      <c r="W19" s="2"/>
      <c r="X19" s="2"/>
    </row>
    <row r="20" spans="1:24" ht="9.5" customHeight="1">
      <c r="A20" s="2"/>
      <c r="B20" s="54"/>
      <c r="C20" s="54"/>
      <c r="D20" s="54"/>
      <c r="E20" s="54"/>
      <c r="F20" s="54"/>
      <c r="G20" s="54"/>
      <c r="H20" s="54"/>
      <c r="I20" s="2"/>
      <c r="J20" s="2"/>
      <c r="K20" s="2"/>
      <c r="L20" s="2"/>
      <c r="M20" s="2"/>
      <c r="N20" s="2"/>
      <c r="O20" s="2"/>
      <c r="P20" s="2"/>
      <c r="Q20" s="2"/>
      <c r="R20" s="2"/>
      <c r="S20" s="2"/>
      <c r="T20" s="2"/>
      <c r="U20" s="2"/>
      <c r="V20" s="2"/>
      <c r="W20" s="2"/>
      <c r="X20" s="2"/>
    </row>
    <row r="21" spans="1:24" ht="9.5" customHeight="1">
      <c r="A21" s="2"/>
      <c r="B21" s="54"/>
      <c r="C21" s="54"/>
      <c r="D21" s="54"/>
      <c r="E21" s="54"/>
      <c r="F21" s="54"/>
      <c r="G21" s="54"/>
      <c r="H21" s="54"/>
      <c r="I21" s="2"/>
      <c r="J21" s="2"/>
      <c r="K21" s="2"/>
      <c r="L21" s="2"/>
      <c r="M21" s="2"/>
      <c r="N21" s="2"/>
      <c r="O21" s="2"/>
      <c r="P21" s="2"/>
      <c r="Q21" s="2"/>
      <c r="R21" s="2"/>
      <c r="S21" s="2"/>
      <c r="T21" s="2"/>
      <c r="U21" s="2"/>
      <c r="V21" s="2"/>
      <c r="W21" s="2"/>
      <c r="X21" s="2"/>
    </row>
    <row r="22" spans="1:24">
      <c r="A22" s="2"/>
      <c r="B22" s="2"/>
      <c r="C22" s="2"/>
      <c r="D22" s="2"/>
      <c r="E22" s="2"/>
      <c r="F22" s="2"/>
      <c r="G22" s="2"/>
      <c r="H22" s="2"/>
      <c r="I22" s="2"/>
      <c r="J22" s="2"/>
      <c r="K22" s="2"/>
      <c r="L22" s="2"/>
      <c r="M22" s="2"/>
      <c r="N22" s="2"/>
      <c r="O22" s="2"/>
      <c r="P22" s="2"/>
      <c r="Q22" s="2"/>
      <c r="R22" s="2"/>
      <c r="S22" s="2"/>
      <c r="T22" s="2"/>
      <c r="U22" s="2"/>
      <c r="V22" s="2"/>
      <c r="W22" s="2"/>
      <c r="X22" s="2"/>
    </row>
    <row r="23" spans="1:24" ht="9.5" customHeight="1">
      <c r="A23" s="8" t="s">
        <v>20</v>
      </c>
      <c r="B23" s="55" t="str">
        <f>IFERROR(INDEX('Master Data'!$U$2:$U$46,MATCH($B$3,'Master Data'!$A$2:$A$46,0)),"")</f>
        <v>Lower winning ceiling than Cameron Smith</v>
      </c>
      <c r="C23" s="55"/>
      <c r="D23" s="55"/>
      <c r="E23" s="55"/>
      <c r="F23" s="55"/>
      <c r="G23" s="55"/>
      <c r="H23" s="55"/>
      <c r="I23" s="2"/>
      <c r="J23" s="2"/>
      <c r="K23" s="2"/>
      <c r="L23" s="2"/>
      <c r="M23" s="2"/>
      <c r="N23" s="2"/>
      <c r="O23" s="2"/>
      <c r="P23" s="2"/>
      <c r="Q23" s="2"/>
      <c r="R23" s="2"/>
      <c r="S23" s="2"/>
      <c r="T23" s="2"/>
      <c r="U23" s="2"/>
      <c r="V23" s="2"/>
      <c r="W23" s="2"/>
      <c r="X23" s="2"/>
    </row>
    <row r="24" spans="1:24" ht="9.5" customHeight="1">
      <c r="A24" s="2"/>
      <c r="B24" s="55"/>
      <c r="C24" s="55"/>
      <c r="D24" s="55"/>
      <c r="E24" s="55"/>
      <c r="F24" s="55"/>
      <c r="G24" s="55"/>
      <c r="H24" s="55"/>
      <c r="I24" s="2"/>
      <c r="J24" s="2"/>
      <c r="K24" s="2"/>
      <c r="L24" s="2"/>
      <c r="M24" s="2"/>
      <c r="N24" s="2"/>
      <c r="O24" s="2"/>
      <c r="P24" s="2"/>
      <c r="Q24" s="2"/>
      <c r="R24" s="2"/>
      <c r="S24" s="2"/>
      <c r="T24" s="2"/>
      <c r="U24" s="2"/>
      <c r="V24" s="2"/>
      <c r="W24" s="2"/>
      <c r="X24" s="2"/>
    </row>
    <row r="25" spans="1:24" ht="9.5" customHeight="1">
      <c r="A25" s="2"/>
      <c r="B25" s="55"/>
      <c r="C25" s="55"/>
      <c r="D25" s="55"/>
      <c r="E25" s="55"/>
      <c r="F25" s="55"/>
      <c r="G25" s="55"/>
      <c r="H25" s="55"/>
      <c r="I25" s="2"/>
      <c r="J25" s="2"/>
      <c r="K25" s="2"/>
      <c r="L25" s="2"/>
      <c r="M25" s="2"/>
      <c r="N25" s="2"/>
      <c r="O25" s="2"/>
      <c r="P25" s="2"/>
      <c r="Q25" s="2"/>
      <c r="R25" s="2"/>
      <c r="S25" s="2"/>
      <c r="T25" s="2"/>
      <c r="U25" s="2"/>
      <c r="V25" s="2"/>
      <c r="W25" s="2"/>
      <c r="X25" s="2"/>
    </row>
    <row r="26" spans="1:24">
      <c r="A26" s="2"/>
      <c r="B26" s="2"/>
      <c r="C26" s="2"/>
      <c r="D26" s="2"/>
      <c r="E26" s="2"/>
      <c r="F26" s="2"/>
      <c r="G26" s="2"/>
      <c r="H26" s="2"/>
      <c r="I26" s="2"/>
      <c r="J26" s="2"/>
      <c r="K26" s="2"/>
      <c r="L26" s="2"/>
      <c r="M26" s="2"/>
      <c r="N26" s="2"/>
      <c r="O26" s="2"/>
      <c r="P26" s="2"/>
      <c r="Q26" s="2"/>
      <c r="R26" s="2"/>
      <c r="S26" s="2"/>
      <c r="T26" s="2"/>
      <c r="U26" s="2"/>
      <c r="V26" s="2"/>
      <c r="W26" s="2"/>
      <c r="X26" s="2"/>
    </row>
    <row r="27" spans="1:24" ht="9.5" customHeight="1">
      <c r="A27" s="8" t="s">
        <v>16</v>
      </c>
      <c r="B27" s="56" t="str">
        <f>IFERROR(INDEX('Master Data'!$Q$2:$Q$46,MATCH($B$3,'Master Data'!$A$2:$A$46,0)),"")</f>
        <v>No major form collapse concern</v>
      </c>
      <c r="C27" s="56"/>
      <c r="D27" s="56"/>
      <c r="E27" s="56"/>
      <c r="F27" s="56"/>
      <c r="G27" s="56"/>
      <c r="H27" s="56"/>
      <c r="I27" s="2"/>
      <c r="J27" s="2"/>
      <c r="K27" s="2"/>
      <c r="L27" s="2"/>
      <c r="M27" s="2"/>
      <c r="N27" s="2"/>
      <c r="O27" s="2"/>
      <c r="P27" s="2"/>
      <c r="Q27" s="2"/>
      <c r="R27" s="2"/>
      <c r="S27" s="2"/>
      <c r="T27" s="2"/>
      <c r="U27" s="2"/>
      <c r="V27" s="2"/>
      <c r="W27" s="2"/>
      <c r="X27" s="2"/>
    </row>
    <row r="28" spans="1:24" ht="9.5" customHeight="1">
      <c r="A28" s="2"/>
      <c r="B28" s="56"/>
      <c r="C28" s="56"/>
      <c r="D28" s="56"/>
      <c r="E28" s="56"/>
      <c r="F28" s="56"/>
      <c r="G28" s="56"/>
      <c r="H28" s="56"/>
      <c r="I28" s="2"/>
      <c r="J28" s="2"/>
      <c r="K28" s="2"/>
      <c r="L28" s="2"/>
      <c r="M28" s="2"/>
      <c r="N28" s="2"/>
      <c r="O28" s="2"/>
      <c r="P28" s="2"/>
      <c r="Q28" s="2"/>
      <c r="R28" s="2"/>
      <c r="S28" s="2"/>
      <c r="T28" s="2"/>
      <c r="U28" s="2"/>
      <c r="V28" s="2"/>
      <c r="W28" s="2"/>
      <c r="X28" s="2"/>
    </row>
    <row r="29" spans="1:24" ht="9.5" customHeight="1">
      <c r="A29" s="2"/>
      <c r="B29" s="56"/>
      <c r="C29" s="56"/>
      <c r="D29" s="56"/>
      <c r="E29" s="56"/>
      <c r="F29" s="56"/>
      <c r="G29" s="56"/>
      <c r="H29" s="56"/>
      <c r="I29" s="2"/>
      <c r="J29" s="2"/>
      <c r="K29" s="2"/>
      <c r="L29" s="2"/>
      <c r="M29" s="2"/>
      <c r="N29" s="2"/>
      <c r="O29" s="2"/>
      <c r="P29" s="2"/>
      <c r="Q29" s="2"/>
      <c r="R29" s="2"/>
      <c r="S29" s="2"/>
      <c r="T29" s="2"/>
      <c r="U29" s="2"/>
      <c r="V29" s="2"/>
      <c r="W29" s="2"/>
      <c r="X29" s="2"/>
    </row>
    <row r="30" spans="1:24">
      <c r="A30" s="2"/>
      <c r="B30" s="2"/>
      <c r="C30" s="2"/>
      <c r="D30" s="2"/>
      <c r="E30" s="2"/>
      <c r="F30" s="2"/>
      <c r="G30" s="2"/>
      <c r="H30" s="2"/>
      <c r="I30" s="2"/>
      <c r="J30" s="2"/>
      <c r="K30" s="2"/>
      <c r="L30" s="2"/>
      <c r="M30" s="2"/>
      <c r="N30" s="2"/>
      <c r="O30" s="2"/>
      <c r="P30" s="2"/>
      <c r="Q30" s="2"/>
      <c r="R30" s="2"/>
      <c r="S30" s="2"/>
      <c r="T30" s="2"/>
      <c r="U30" s="2"/>
      <c r="V30" s="2"/>
      <c r="W30" s="2"/>
      <c r="X30" s="2"/>
    </row>
    <row r="31" spans="1:24" ht="14.25" customHeight="1">
      <c r="A31" s="8" t="s">
        <v>21</v>
      </c>
      <c r="B31" s="57" t="str">
        <f>IFERROR(INDEX('Master Data'!$V$2:$V$46,MATCH($B$3,'Master Data'!$A$2:$A$46,0)),"")</f>
        <v>Useful if friends chase bigger names</v>
      </c>
      <c r="C31" s="57"/>
      <c r="D31" s="57"/>
      <c r="E31" s="57"/>
      <c r="F31" s="57"/>
      <c r="G31" s="57"/>
      <c r="H31" s="57"/>
      <c r="I31" s="2"/>
      <c r="J31" s="2"/>
      <c r="K31" s="2"/>
      <c r="L31" s="2"/>
      <c r="M31" s="2"/>
      <c r="N31" s="2"/>
      <c r="O31" s="2"/>
      <c r="P31" s="2"/>
      <c r="Q31" s="2"/>
      <c r="R31" s="2"/>
      <c r="S31" s="2"/>
      <c r="T31" s="2"/>
      <c r="U31" s="2"/>
      <c r="V31" s="2"/>
      <c r="W31" s="2"/>
      <c r="X31" s="2"/>
    </row>
    <row r="32" spans="1:24" ht="9.5" customHeight="1">
      <c r="A32" s="2"/>
      <c r="B32" s="57"/>
      <c r="C32" s="57"/>
      <c r="D32" s="57"/>
      <c r="E32" s="57"/>
      <c r="F32" s="57"/>
      <c r="G32" s="57"/>
      <c r="H32" s="57"/>
      <c r="I32" s="2"/>
      <c r="J32" s="2"/>
      <c r="K32" s="2"/>
      <c r="L32" s="2"/>
      <c r="M32" s="2"/>
      <c r="N32" s="2"/>
      <c r="O32" s="2"/>
      <c r="P32" s="2"/>
      <c r="Q32" s="2"/>
      <c r="R32" s="2"/>
      <c r="S32" s="2"/>
      <c r="T32" s="2"/>
      <c r="U32" s="2"/>
      <c r="V32" s="2"/>
      <c r="W32" s="2"/>
      <c r="X32" s="2"/>
    </row>
    <row r="33" spans="1:24" ht="9.5" customHeight="1">
      <c r="A33" s="2"/>
      <c r="B33" s="57"/>
      <c r="C33" s="57"/>
      <c r="D33" s="57"/>
      <c r="E33" s="57"/>
      <c r="F33" s="57"/>
      <c r="G33" s="57"/>
      <c r="H33" s="57"/>
      <c r="I33" s="2"/>
      <c r="J33" s="2"/>
      <c r="K33" s="2"/>
      <c r="L33" s="2"/>
      <c r="M33" s="2"/>
      <c r="N33" s="2"/>
      <c r="O33" s="2"/>
      <c r="P33" s="2"/>
      <c r="Q33" s="2"/>
      <c r="R33" s="2"/>
      <c r="S33" s="2"/>
      <c r="T33" s="2"/>
      <c r="U33" s="2"/>
      <c r="V33" s="2"/>
      <c r="W33" s="2"/>
      <c r="X33" s="2"/>
    </row>
    <row r="34" spans="1:24">
      <c r="A34" s="2"/>
      <c r="B34" s="2"/>
      <c r="C34" s="2"/>
      <c r="D34" s="2"/>
      <c r="E34" s="2"/>
      <c r="F34" s="2"/>
      <c r="G34" s="2"/>
      <c r="H34" s="2"/>
      <c r="I34" s="2"/>
      <c r="J34" s="2"/>
      <c r="K34" s="2"/>
      <c r="L34" s="2"/>
      <c r="M34" s="2"/>
      <c r="N34" s="2"/>
      <c r="O34" s="2"/>
      <c r="P34" s="2"/>
      <c r="Q34" s="2"/>
      <c r="R34" s="2"/>
      <c r="S34" s="2"/>
      <c r="T34" s="2"/>
      <c r="U34" s="2"/>
      <c r="V34" s="2"/>
      <c r="W34" s="2"/>
      <c r="X34" s="2"/>
    </row>
    <row r="35" spans="1:24">
      <c r="A35" s="8" t="s">
        <v>22</v>
      </c>
      <c r="B35" s="53" t="str">
        <f>IFERROR(INDEX('Master Data'!$W$2:$W$46,MATCH($B$3,'Master Data'!$A$2:$A$46,0)),"")</f>
        <v>https://www.golfdigest.com/story/us-open-2026-power-ranking-entire-field-shinnecock-hills</v>
      </c>
      <c r="C35" s="53"/>
      <c r="D35" s="53"/>
      <c r="E35" s="53"/>
      <c r="F35" s="53"/>
      <c r="G35" s="53"/>
      <c r="H35" s="53"/>
      <c r="I35" s="2"/>
      <c r="J35" s="2"/>
      <c r="K35" s="2"/>
      <c r="L35" s="2"/>
      <c r="M35" s="2"/>
      <c r="N35" s="2"/>
      <c r="O35" s="2"/>
      <c r="P35" s="2"/>
      <c r="Q35" s="2"/>
      <c r="R35" s="2"/>
      <c r="S35" s="2"/>
      <c r="T35" s="2"/>
      <c r="U35" s="2"/>
      <c r="V35" s="2"/>
      <c r="W35" s="2"/>
      <c r="X35" s="2"/>
    </row>
    <row r="36" spans="1:24">
      <c r="A36" s="2"/>
      <c r="B36" s="2"/>
      <c r="C36" s="2"/>
      <c r="D36" s="2"/>
      <c r="E36" s="2"/>
      <c r="F36" s="2"/>
      <c r="G36" s="2"/>
      <c r="H36" s="2"/>
      <c r="I36" s="2"/>
      <c r="J36" s="2"/>
      <c r="K36" s="2"/>
      <c r="L36" s="2"/>
      <c r="M36" s="2"/>
      <c r="N36" s="2"/>
      <c r="O36" s="2"/>
      <c r="P36" s="2"/>
      <c r="Q36" s="2"/>
      <c r="R36" s="2"/>
      <c r="S36" s="2"/>
      <c r="T36" s="2"/>
      <c r="U36" s="2"/>
      <c r="V36" s="2"/>
      <c r="W36" s="2"/>
      <c r="X36" s="2"/>
    </row>
    <row r="37" spans="1:24">
      <c r="A37" s="8" t="s">
        <v>23</v>
      </c>
      <c r="B37" s="53" t="str">
        <f>IFERROR(INDEX('Master Data'!$X$2:$X$46,MATCH($B$3,'Master Data'!$A$2:$A$46,0)),"")</f>
        <v>https://www.usopen.com/</v>
      </c>
      <c r="C37" s="53"/>
      <c r="D37" s="53"/>
      <c r="E37" s="53"/>
      <c r="F37" s="53"/>
      <c r="G37" s="53"/>
      <c r="H37" s="53"/>
      <c r="I37" s="2"/>
      <c r="J37" s="2"/>
      <c r="K37" s="2"/>
      <c r="L37" s="2"/>
      <c r="M37" s="2"/>
      <c r="N37" s="2"/>
      <c r="O37" s="2"/>
      <c r="P37" s="2"/>
      <c r="Q37" s="2"/>
      <c r="R37" s="2"/>
      <c r="S37" s="2"/>
      <c r="T37" s="2"/>
      <c r="U37" s="2"/>
      <c r="V37" s="2"/>
      <c r="W37" s="2"/>
      <c r="X37" s="2"/>
    </row>
    <row r="38" spans="1:24">
      <c r="A38" s="2"/>
      <c r="B38" s="2"/>
      <c r="C38" s="2"/>
      <c r="D38" s="2"/>
      <c r="E38" s="2"/>
      <c r="F38" s="2"/>
      <c r="G38" s="2"/>
      <c r="H38" s="2"/>
      <c r="I38" s="2"/>
      <c r="J38" s="2"/>
      <c r="K38" s="2"/>
      <c r="L38" s="2"/>
      <c r="M38" s="2"/>
      <c r="N38" s="2"/>
      <c r="O38" s="2"/>
      <c r="P38" s="2"/>
      <c r="Q38" s="2"/>
      <c r="R38" s="2"/>
      <c r="S38" s="2"/>
      <c r="T38" s="2"/>
      <c r="U38" s="2"/>
      <c r="V38" s="2"/>
      <c r="W38" s="2"/>
      <c r="X38" s="2"/>
    </row>
    <row r="39" spans="1:24">
      <c r="A39" s="2"/>
      <c r="B39" s="2"/>
      <c r="C39" s="2"/>
      <c r="D39" s="2"/>
      <c r="E39" s="2"/>
      <c r="F39" s="2"/>
      <c r="G39" s="2"/>
      <c r="H39" s="2"/>
      <c r="I39" s="2"/>
      <c r="J39" s="2"/>
      <c r="K39" s="2"/>
      <c r="L39" s="2"/>
      <c r="M39" s="2"/>
      <c r="N39" s="2"/>
      <c r="O39" s="2"/>
      <c r="P39" s="2"/>
      <c r="Q39" s="2"/>
      <c r="R39" s="2"/>
      <c r="S39" s="2"/>
      <c r="T39" s="2"/>
      <c r="U39" s="2"/>
      <c r="V39" s="2"/>
      <c r="W39" s="2"/>
      <c r="X39" s="2"/>
    </row>
    <row r="40" spans="1:24">
      <c r="A40" s="2"/>
      <c r="B40" s="2"/>
      <c r="C40" s="2"/>
      <c r="D40" s="2"/>
      <c r="E40" s="2"/>
      <c r="F40" s="2"/>
      <c r="G40" s="2"/>
      <c r="H40" s="2"/>
      <c r="I40" s="2"/>
      <c r="J40" s="2"/>
      <c r="K40" s="2"/>
      <c r="L40" s="2"/>
      <c r="M40" s="2"/>
      <c r="N40" s="2"/>
      <c r="O40" s="2"/>
      <c r="P40" s="2"/>
      <c r="Q40" s="2"/>
      <c r="R40" s="2"/>
      <c r="S40" s="2"/>
      <c r="T40" s="2"/>
      <c r="U40" s="2"/>
      <c r="V40" s="2"/>
      <c r="W40" s="2"/>
      <c r="X40" s="2"/>
    </row>
    <row r="41" spans="1:24">
      <c r="A41" s="2"/>
      <c r="B41" s="2"/>
      <c r="C41" s="2"/>
      <c r="D41" s="2"/>
      <c r="E41" s="2"/>
      <c r="F41" s="2"/>
      <c r="G41" s="2"/>
      <c r="H41" s="2"/>
      <c r="I41" s="2"/>
      <c r="J41" s="2"/>
      <c r="K41" s="2"/>
      <c r="L41" s="2"/>
      <c r="M41" s="2"/>
      <c r="N41" s="2"/>
      <c r="O41" s="2"/>
      <c r="P41" s="2"/>
      <c r="Q41" s="2"/>
      <c r="R41" s="2"/>
      <c r="S41" s="2"/>
      <c r="T41" s="2"/>
      <c r="U41" s="2"/>
      <c r="V41" s="2"/>
      <c r="W41" s="2"/>
      <c r="X41" s="2"/>
    </row>
    <row r="42" spans="1:24">
      <c r="A42" s="2"/>
      <c r="B42" s="2"/>
      <c r="C42" s="2"/>
      <c r="D42" s="2"/>
      <c r="E42" s="2"/>
      <c r="F42" s="2"/>
      <c r="G42" s="2"/>
      <c r="H42" s="2"/>
      <c r="I42" s="2"/>
      <c r="J42" s="2"/>
      <c r="K42" s="2"/>
      <c r="L42" s="2"/>
      <c r="M42" s="2"/>
      <c r="N42" s="2"/>
      <c r="O42" s="2"/>
      <c r="P42" s="2"/>
      <c r="Q42" s="2"/>
      <c r="R42" s="2"/>
      <c r="S42" s="2"/>
      <c r="T42" s="2"/>
      <c r="U42" s="2"/>
      <c r="V42" s="2"/>
      <c r="W42" s="2"/>
      <c r="X42" s="2"/>
    </row>
    <row r="43" spans="1:24">
      <c r="A43" s="2"/>
      <c r="B43" s="2"/>
      <c r="C43" s="2"/>
      <c r="D43" s="2"/>
      <c r="E43" s="2"/>
      <c r="F43" s="2"/>
      <c r="G43" s="2"/>
      <c r="H43" s="2"/>
      <c r="I43" s="2"/>
      <c r="J43" s="2"/>
      <c r="K43" s="2"/>
      <c r="L43" s="2"/>
      <c r="M43" s="2"/>
      <c r="N43" s="2"/>
      <c r="O43" s="2"/>
      <c r="P43" s="2"/>
      <c r="Q43" s="2"/>
      <c r="R43" s="2"/>
      <c r="S43" s="2"/>
      <c r="T43" s="2"/>
      <c r="U43" s="2"/>
      <c r="V43" s="2"/>
      <c r="W43" s="2"/>
      <c r="X43" s="2"/>
    </row>
    <row r="44" spans="1:24">
      <c r="A44" s="2"/>
      <c r="B44" s="2"/>
      <c r="C44" s="2"/>
      <c r="D44" s="2"/>
      <c r="E44" s="2"/>
      <c r="F44" s="2"/>
      <c r="G44" s="2"/>
      <c r="H44" s="2"/>
      <c r="I44" s="2"/>
      <c r="J44" s="2"/>
      <c r="K44" s="2"/>
      <c r="L44" s="2"/>
      <c r="M44" s="2"/>
      <c r="N44" s="2"/>
      <c r="O44" s="2"/>
      <c r="P44" s="2"/>
      <c r="Q44" s="2"/>
      <c r="R44" s="2"/>
      <c r="S44" s="2"/>
      <c r="T44" s="2"/>
      <c r="U44" s="2"/>
      <c r="V44" s="2"/>
      <c r="W44" s="2"/>
      <c r="X44" s="2"/>
    </row>
    <row r="45" spans="1:24">
      <c r="A45" s="2"/>
      <c r="B45" s="2"/>
      <c r="C45" s="2"/>
      <c r="D45" s="2"/>
      <c r="E45" s="2"/>
      <c r="F45" s="2"/>
      <c r="G45" s="2"/>
      <c r="H45" s="2"/>
      <c r="I45" s="2"/>
      <c r="J45" s="2"/>
      <c r="K45" s="2"/>
      <c r="L45" s="2"/>
      <c r="M45" s="2"/>
      <c r="N45" s="2"/>
      <c r="O45" s="2"/>
      <c r="P45" s="2"/>
      <c r="Q45" s="2"/>
      <c r="R45" s="2"/>
      <c r="S45" s="2"/>
      <c r="T45" s="2"/>
      <c r="U45" s="2"/>
      <c r="V45" s="2"/>
      <c r="W45" s="2"/>
      <c r="X45" s="2"/>
    </row>
    <row r="46" spans="1:24">
      <c r="A46" s="2"/>
      <c r="B46" s="2"/>
      <c r="C46" s="2"/>
      <c r="D46" s="2"/>
      <c r="E46" s="2"/>
      <c r="F46" s="2"/>
      <c r="G46" s="2"/>
      <c r="H46" s="2"/>
      <c r="I46" s="2"/>
      <c r="J46" s="2"/>
      <c r="K46" s="2"/>
      <c r="L46" s="2"/>
      <c r="M46" s="2"/>
      <c r="N46" s="2"/>
      <c r="O46" s="2"/>
      <c r="P46" s="2"/>
      <c r="Q46" s="2"/>
      <c r="R46" s="2"/>
      <c r="S46" s="2"/>
      <c r="T46" s="2"/>
      <c r="U46" s="2"/>
      <c r="V46" s="2"/>
      <c r="W46" s="2"/>
      <c r="X46" s="2"/>
    </row>
    <row r="47" spans="1:24">
      <c r="A47" s="2"/>
      <c r="B47" s="2"/>
      <c r="C47" s="2"/>
      <c r="D47" s="2"/>
      <c r="E47" s="2"/>
      <c r="F47" s="2"/>
      <c r="G47" s="2"/>
      <c r="H47" s="2"/>
      <c r="I47" s="2"/>
      <c r="J47" s="2"/>
      <c r="K47" s="2"/>
      <c r="L47" s="2"/>
      <c r="M47" s="2"/>
      <c r="N47" s="2"/>
      <c r="O47" s="2"/>
      <c r="P47" s="2"/>
      <c r="Q47" s="2"/>
      <c r="R47" s="2"/>
      <c r="S47" s="2"/>
      <c r="T47" s="2"/>
      <c r="U47" s="2"/>
      <c r="V47" s="2"/>
      <c r="W47" s="2"/>
      <c r="X47" s="2"/>
    </row>
    <row r="48" spans="1:24">
      <c r="A48" s="2"/>
      <c r="B48" s="2"/>
      <c r="C48" s="2"/>
      <c r="D48" s="2"/>
      <c r="E48" s="2"/>
      <c r="F48" s="2"/>
      <c r="G48" s="2"/>
      <c r="H48" s="2"/>
      <c r="I48" s="2"/>
      <c r="J48" s="2"/>
      <c r="K48" s="2"/>
      <c r="L48" s="2"/>
      <c r="M48" s="2"/>
      <c r="N48" s="2"/>
      <c r="O48" s="2"/>
      <c r="P48" s="2"/>
      <c r="Q48" s="2"/>
      <c r="R48" s="2"/>
      <c r="S48" s="2"/>
      <c r="T48" s="2"/>
      <c r="U48" s="2"/>
      <c r="V48" s="2"/>
      <c r="W48" s="2"/>
      <c r="X48" s="2"/>
    </row>
    <row r="49" spans="1:24">
      <c r="A49" s="2"/>
      <c r="B49" s="2"/>
      <c r="C49" s="2"/>
      <c r="D49" s="2"/>
      <c r="E49" s="2"/>
      <c r="F49" s="2"/>
      <c r="G49" s="2"/>
      <c r="H49" s="2"/>
      <c r="I49" s="2"/>
      <c r="J49" s="2"/>
      <c r="K49" s="2"/>
      <c r="L49" s="2"/>
      <c r="M49" s="2"/>
      <c r="N49" s="2"/>
      <c r="O49" s="2"/>
      <c r="P49" s="2"/>
      <c r="Q49" s="2"/>
      <c r="R49" s="2"/>
      <c r="S49" s="2"/>
      <c r="T49" s="2"/>
      <c r="U49" s="2"/>
      <c r="V49" s="2"/>
      <c r="W49" s="2"/>
      <c r="X49" s="2"/>
    </row>
    <row r="50" spans="1:24">
      <c r="A50" s="2"/>
      <c r="B50" s="2"/>
      <c r="C50" s="2"/>
      <c r="D50" s="2"/>
      <c r="E50" s="2"/>
      <c r="F50" s="2"/>
      <c r="G50" s="2"/>
      <c r="H50" s="2"/>
      <c r="I50" s="2"/>
      <c r="J50" s="2"/>
      <c r="K50" s="2"/>
      <c r="L50" s="2"/>
      <c r="M50" s="2"/>
      <c r="N50" s="2"/>
      <c r="O50" s="2"/>
      <c r="P50" s="2"/>
      <c r="Q50" s="2"/>
      <c r="R50" s="2"/>
      <c r="S50" s="2"/>
      <c r="T50" s="2"/>
      <c r="U50" s="2"/>
      <c r="V50" s="2"/>
      <c r="W50" s="2"/>
      <c r="X50" s="2"/>
    </row>
    <row r="51" spans="1:24">
      <c r="A51" s="2"/>
      <c r="B51" s="2"/>
      <c r="C51" s="2"/>
      <c r="D51" s="2"/>
      <c r="E51" s="2"/>
      <c r="F51" s="2"/>
      <c r="G51" s="2"/>
      <c r="H51" s="2"/>
      <c r="I51" s="2"/>
      <c r="J51" s="2"/>
      <c r="K51" s="2"/>
      <c r="L51" s="2"/>
      <c r="M51" s="2"/>
      <c r="N51" s="2"/>
      <c r="O51" s="2"/>
      <c r="P51" s="2"/>
      <c r="Q51" s="2"/>
      <c r="R51" s="2"/>
      <c r="S51" s="2"/>
      <c r="T51" s="2"/>
      <c r="U51" s="2"/>
      <c r="V51" s="2"/>
      <c r="W51" s="2"/>
      <c r="X51" s="2"/>
    </row>
    <row r="52" spans="1:24">
      <c r="A52" s="2"/>
      <c r="B52" s="2"/>
      <c r="C52" s="2"/>
      <c r="D52" s="2"/>
      <c r="E52" s="2"/>
      <c r="F52" s="2"/>
      <c r="G52" s="2"/>
      <c r="H52" s="2"/>
      <c r="I52" s="2"/>
      <c r="J52" s="2"/>
      <c r="K52" s="2"/>
      <c r="L52" s="2"/>
      <c r="M52" s="2"/>
      <c r="N52" s="2"/>
      <c r="O52" s="2"/>
      <c r="P52" s="2"/>
      <c r="Q52" s="2"/>
      <c r="R52" s="2"/>
      <c r="S52" s="2"/>
      <c r="T52" s="2"/>
      <c r="U52" s="2"/>
      <c r="V52" s="2"/>
      <c r="W52" s="2"/>
      <c r="X52" s="2"/>
    </row>
    <row r="53" spans="1:24">
      <c r="A53" s="2"/>
      <c r="B53" s="2"/>
      <c r="C53" s="2"/>
      <c r="D53" s="2"/>
      <c r="E53" s="2"/>
      <c r="F53" s="2"/>
      <c r="G53" s="2"/>
      <c r="H53" s="2"/>
      <c r="I53" s="2"/>
      <c r="J53" s="2"/>
      <c r="K53" s="2"/>
      <c r="L53" s="2"/>
      <c r="M53" s="2"/>
      <c r="N53" s="2"/>
      <c r="O53" s="2"/>
      <c r="P53" s="2"/>
      <c r="Q53" s="2"/>
      <c r="R53" s="2"/>
      <c r="S53" s="2"/>
      <c r="T53" s="2"/>
      <c r="U53" s="2"/>
      <c r="V53" s="2"/>
      <c r="W53" s="2"/>
      <c r="X53" s="2"/>
    </row>
    <row r="54" spans="1:24">
      <c r="A54" s="2"/>
      <c r="B54" s="2"/>
      <c r="C54" s="2"/>
      <c r="D54" s="2"/>
      <c r="E54" s="2"/>
      <c r="F54" s="2"/>
      <c r="G54" s="2"/>
      <c r="H54" s="2"/>
      <c r="I54" s="2"/>
      <c r="J54" s="2"/>
      <c r="K54" s="2"/>
      <c r="L54" s="2"/>
      <c r="M54" s="2"/>
      <c r="N54" s="2"/>
      <c r="O54" s="2"/>
      <c r="P54" s="2"/>
      <c r="Q54" s="2"/>
      <c r="R54" s="2"/>
      <c r="S54" s="2"/>
      <c r="T54" s="2"/>
      <c r="U54" s="2"/>
      <c r="V54" s="2"/>
      <c r="W54" s="2"/>
      <c r="X54" s="2"/>
    </row>
    <row r="55" spans="1:24">
      <c r="A55" s="2"/>
      <c r="B55" s="2"/>
      <c r="C55" s="2"/>
      <c r="D55" s="2"/>
      <c r="E55" s="2"/>
      <c r="F55" s="2"/>
      <c r="G55" s="2"/>
      <c r="H55" s="2"/>
      <c r="I55" s="2"/>
      <c r="J55" s="2"/>
      <c r="K55" s="2"/>
      <c r="L55" s="2"/>
      <c r="M55" s="2"/>
      <c r="N55" s="2"/>
      <c r="O55" s="2"/>
      <c r="P55" s="2"/>
      <c r="Q55" s="2"/>
      <c r="R55" s="2"/>
      <c r="S55" s="2"/>
      <c r="T55" s="2"/>
      <c r="U55" s="2"/>
      <c r="V55" s="2"/>
      <c r="W55" s="2"/>
      <c r="X55" s="2"/>
    </row>
    <row r="56" spans="1:24">
      <c r="A56" s="2"/>
      <c r="B56" s="2"/>
      <c r="C56" s="2"/>
      <c r="D56" s="2"/>
      <c r="E56" s="2"/>
      <c r="F56" s="2"/>
      <c r="G56" s="2"/>
      <c r="H56" s="2"/>
      <c r="I56" s="2"/>
      <c r="J56" s="2"/>
      <c r="K56" s="2"/>
      <c r="L56" s="2"/>
      <c r="M56" s="2"/>
      <c r="N56" s="2"/>
      <c r="O56" s="2"/>
      <c r="P56" s="2"/>
      <c r="Q56" s="2"/>
      <c r="R56" s="2"/>
      <c r="S56" s="2"/>
      <c r="T56" s="2"/>
      <c r="U56" s="2"/>
      <c r="V56" s="2"/>
      <c r="W56" s="2"/>
      <c r="X56" s="2"/>
    </row>
    <row r="57" spans="1:24">
      <c r="A57" s="2"/>
      <c r="B57" s="2"/>
      <c r="C57" s="2"/>
      <c r="D57" s="2"/>
      <c r="E57" s="2"/>
      <c r="F57" s="2"/>
      <c r="G57" s="2"/>
      <c r="H57" s="2"/>
      <c r="I57" s="2"/>
      <c r="J57" s="2"/>
      <c r="K57" s="2"/>
      <c r="L57" s="2"/>
      <c r="M57" s="2"/>
      <c r="N57" s="2"/>
      <c r="O57" s="2"/>
      <c r="P57" s="2"/>
      <c r="Q57" s="2"/>
      <c r="R57" s="2"/>
      <c r="S57" s="2"/>
      <c r="T57" s="2"/>
      <c r="U57" s="2"/>
      <c r="V57" s="2"/>
      <c r="W57" s="2"/>
      <c r="X57" s="2"/>
    </row>
    <row r="58" spans="1:24">
      <c r="A58" s="2"/>
      <c r="B58" s="2"/>
      <c r="C58" s="2"/>
      <c r="D58" s="2"/>
      <c r="E58" s="2"/>
      <c r="F58" s="2"/>
      <c r="G58" s="2"/>
      <c r="H58" s="2"/>
      <c r="I58" s="2"/>
      <c r="J58" s="2"/>
      <c r="K58" s="2"/>
      <c r="L58" s="2"/>
      <c r="M58" s="2"/>
      <c r="N58" s="2"/>
      <c r="O58" s="2"/>
      <c r="P58" s="2"/>
      <c r="Q58" s="2"/>
      <c r="R58" s="2"/>
      <c r="S58" s="2"/>
      <c r="T58" s="2"/>
      <c r="U58" s="2"/>
      <c r="V58" s="2"/>
      <c r="W58" s="2"/>
      <c r="X58" s="2"/>
    </row>
    <row r="59" spans="1:24">
      <c r="A59" s="2"/>
      <c r="B59" s="2"/>
      <c r="C59" s="2"/>
      <c r="D59" s="2"/>
      <c r="E59" s="2"/>
      <c r="F59" s="2"/>
      <c r="G59" s="2"/>
      <c r="H59" s="2"/>
      <c r="I59" s="2"/>
      <c r="J59" s="2"/>
      <c r="K59" s="2"/>
      <c r="L59" s="2"/>
      <c r="M59" s="2"/>
      <c r="N59" s="2"/>
      <c r="O59" s="2"/>
      <c r="P59" s="2"/>
      <c r="Q59" s="2"/>
      <c r="R59" s="2"/>
      <c r="S59" s="2"/>
      <c r="T59" s="2"/>
      <c r="U59" s="2"/>
      <c r="V59" s="2"/>
      <c r="W59" s="2"/>
      <c r="X59" s="2"/>
    </row>
    <row r="60" spans="1:24">
      <c r="A60" s="2"/>
      <c r="B60" s="2"/>
      <c r="C60" s="2"/>
      <c r="D60" s="2"/>
      <c r="E60" s="2"/>
      <c r="F60" s="2"/>
      <c r="G60" s="2"/>
      <c r="H60" s="2"/>
      <c r="I60" s="2"/>
      <c r="J60" s="2"/>
      <c r="K60" s="2"/>
      <c r="L60" s="2"/>
      <c r="M60" s="2"/>
      <c r="N60" s="2"/>
      <c r="O60" s="2"/>
      <c r="P60" s="2"/>
      <c r="Q60" s="2"/>
      <c r="R60" s="2"/>
      <c r="S60" s="2"/>
      <c r="T60" s="2"/>
      <c r="U60" s="2"/>
      <c r="V60" s="2"/>
      <c r="W60" s="2"/>
      <c r="X60" s="2"/>
    </row>
    <row r="61" spans="1:24">
      <c r="A61" s="2"/>
      <c r="B61" s="2"/>
      <c r="C61" s="2"/>
      <c r="D61" s="2"/>
      <c r="E61" s="2"/>
      <c r="F61" s="2"/>
      <c r="G61" s="2"/>
      <c r="H61" s="2"/>
      <c r="I61" s="2"/>
      <c r="J61" s="2"/>
      <c r="K61" s="2"/>
      <c r="L61" s="2"/>
      <c r="M61" s="2"/>
      <c r="N61" s="2"/>
      <c r="O61" s="2"/>
      <c r="P61" s="2"/>
      <c r="Q61" s="2"/>
      <c r="R61" s="2"/>
      <c r="S61" s="2"/>
      <c r="T61" s="2"/>
      <c r="U61" s="2"/>
      <c r="V61" s="2"/>
      <c r="W61" s="2"/>
      <c r="X61" s="2"/>
    </row>
    <row r="62" spans="1:24">
      <c r="A62" s="2"/>
      <c r="B62" s="2"/>
      <c r="C62" s="2"/>
      <c r="D62" s="2"/>
      <c r="E62" s="2"/>
      <c r="F62" s="2"/>
      <c r="G62" s="2"/>
      <c r="H62" s="2"/>
      <c r="I62" s="2"/>
      <c r="J62" s="2"/>
      <c r="K62" s="2"/>
      <c r="L62" s="2"/>
      <c r="M62" s="2"/>
      <c r="N62" s="2"/>
      <c r="O62" s="2"/>
      <c r="P62" s="2"/>
      <c r="Q62" s="2"/>
      <c r="R62" s="2"/>
      <c r="S62" s="2"/>
      <c r="T62" s="2"/>
      <c r="U62" s="2"/>
      <c r="V62" s="2"/>
      <c r="W62" s="2"/>
      <c r="X62" s="2"/>
    </row>
    <row r="63" spans="1:24">
      <c r="A63" s="2"/>
      <c r="B63" s="2"/>
      <c r="C63" s="2"/>
      <c r="D63" s="2"/>
      <c r="E63" s="2"/>
      <c r="F63" s="2"/>
      <c r="G63" s="2"/>
      <c r="H63" s="2"/>
      <c r="I63" s="2"/>
      <c r="J63" s="2"/>
      <c r="K63" s="2"/>
      <c r="L63" s="2"/>
      <c r="M63" s="2"/>
      <c r="N63" s="2"/>
      <c r="O63" s="2"/>
      <c r="P63" s="2"/>
      <c r="Q63" s="2"/>
      <c r="R63" s="2"/>
      <c r="S63" s="2"/>
      <c r="T63" s="2"/>
      <c r="U63" s="2"/>
      <c r="V63" s="2"/>
      <c r="W63" s="2"/>
      <c r="X63" s="2"/>
    </row>
    <row r="64" spans="1:24">
      <c r="A64" s="2"/>
      <c r="B64" s="2"/>
      <c r="C64" s="2"/>
      <c r="D64" s="2"/>
      <c r="E64" s="2"/>
      <c r="F64" s="2"/>
      <c r="G64" s="2"/>
      <c r="H64" s="2"/>
      <c r="I64" s="2"/>
      <c r="J64" s="2"/>
      <c r="K64" s="2"/>
      <c r="L64" s="2"/>
      <c r="M64" s="2"/>
      <c r="N64" s="2"/>
      <c r="O64" s="2"/>
      <c r="P64" s="2"/>
      <c r="Q64" s="2"/>
      <c r="R64" s="2"/>
      <c r="S64" s="2"/>
      <c r="T64" s="2"/>
      <c r="U64" s="2"/>
      <c r="V64" s="2"/>
      <c r="W64" s="2"/>
      <c r="X64" s="2"/>
    </row>
    <row r="65" spans="1:24">
      <c r="A65" s="2"/>
      <c r="B65" s="2"/>
      <c r="C65" s="2"/>
      <c r="D65" s="2"/>
      <c r="E65" s="2"/>
      <c r="F65" s="2"/>
      <c r="G65" s="2"/>
      <c r="H65" s="2"/>
      <c r="I65" s="2"/>
      <c r="J65" s="2"/>
      <c r="K65" s="2"/>
      <c r="L65" s="2"/>
      <c r="M65" s="2"/>
      <c r="N65" s="2"/>
      <c r="O65" s="2"/>
      <c r="P65" s="2"/>
      <c r="Q65" s="2"/>
      <c r="R65" s="2"/>
      <c r="S65" s="2"/>
      <c r="T65" s="2"/>
      <c r="U65" s="2"/>
      <c r="V65" s="2"/>
      <c r="W65" s="2"/>
      <c r="X65" s="2"/>
    </row>
    <row r="66" spans="1:24">
      <c r="A66" s="2"/>
      <c r="B66" s="2"/>
      <c r="C66" s="2"/>
      <c r="D66" s="2"/>
      <c r="E66" s="2"/>
      <c r="F66" s="2"/>
      <c r="G66" s="2"/>
      <c r="H66" s="2"/>
      <c r="I66" s="2"/>
      <c r="J66" s="2"/>
      <c r="K66" s="2"/>
      <c r="L66" s="2"/>
      <c r="M66" s="2"/>
      <c r="N66" s="2"/>
      <c r="O66" s="2"/>
      <c r="P66" s="2"/>
      <c r="Q66" s="2"/>
      <c r="R66" s="2"/>
      <c r="S66" s="2"/>
      <c r="T66" s="2"/>
      <c r="U66" s="2"/>
      <c r="V66" s="2"/>
      <c r="W66" s="2"/>
      <c r="X66" s="2"/>
    </row>
    <row r="67" spans="1:24">
      <c r="A67" s="2"/>
      <c r="B67" s="2"/>
      <c r="C67" s="2"/>
      <c r="D67" s="2"/>
      <c r="E67" s="2"/>
      <c r="F67" s="2"/>
      <c r="G67" s="2"/>
      <c r="H67" s="2"/>
      <c r="I67" s="2"/>
      <c r="J67" s="2"/>
      <c r="K67" s="2"/>
      <c r="L67" s="2"/>
      <c r="M67" s="2"/>
      <c r="N67" s="2"/>
      <c r="O67" s="2"/>
      <c r="P67" s="2"/>
      <c r="Q67" s="2"/>
      <c r="R67" s="2"/>
      <c r="S67" s="2"/>
      <c r="T67" s="2"/>
      <c r="U67" s="2"/>
      <c r="V67" s="2"/>
      <c r="W67" s="2"/>
      <c r="X67" s="2"/>
    </row>
    <row r="68" spans="1:24">
      <c r="A68" s="2"/>
      <c r="B68" s="2"/>
      <c r="C68" s="2"/>
      <c r="D68" s="2"/>
      <c r="E68" s="2"/>
      <c r="F68" s="2"/>
      <c r="G68" s="2"/>
      <c r="H68" s="2"/>
      <c r="I68" s="2"/>
      <c r="J68" s="2"/>
      <c r="K68" s="2"/>
      <c r="L68" s="2"/>
      <c r="M68" s="2"/>
      <c r="N68" s="2"/>
      <c r="O68" s="2"/>
      <c r="P68" s="2"/>
      <c r="Q68" s="2"/>
      <c r="R68" s="2"/>
      <c r="S68" s="2"/>
      <c r="T68" s="2"/>
      <c r="U68" s="2"/>
      <c r="V68" s="2"/>
      <c r="W68" s="2"/>
      <c r="X68" s="2"/>
    </row>
    <row r="69" spans="1:24">
      <c r="A69" s="2"/>
      <c r="B69" s="2"/>
      <c r="C69" s="2"/>
      <c r="D69" s="2"/>
      <c r="E69" s="2"/>
      <c r="F69" s="2"/>
      <c r="G69" s="2"/>
      <c r="H69" s="2"/>
      <c r="I69" s="2"/>
      <c r="J69" s="2"/>
      <c r="K69" s="2"/>
      <c r="L69" s="2"/>
      <c r="M69" s="2"/>
      <c r="N69" s="2"/>
      <c r="O69" s="2"/>
      <c r="P69" s="2"/>
      <c r="Q69" s="2"/>
      <c r="R69" s="2"/>
      <c r="S69" s="2"/>
      <c r="T69" s="2"/>
      <c r="U69" s="2"/>
      <c r="V69" s="2"/>
      <c r="W69" s="2"/>
      <c r="X69" s="2"/>
    </row>
    <row r="70" spans="1:24">
      <c r="A70" s="2"/>
      <c r="B70" s="2"/>
      <c r="C70" s="2"/>
      <c r="D70" s="2"/>
      <c r="E70" s="2"/>
      <c r="F70" s="2"/>
      <c r="G70" s="2"/>
      <c r="H70" s="2"/>
      <c r="I70" s="2"/>
      <c r="J70" s="2"/>
      <c r="K70" s="2"/>
      <c r="L70" s="2"/>
      <c r="M70" s="2"/>
      <c r="N70" s="2"/>
      <c r="O70" s="2"/>
      <c r="P70" s="2"/>
      <c r="Q70" s="2"/>
      <c r="R70" s="2"/>
      <c r="S70" s="2"/>
      <c r="T70" s="2"/>
      <c r="U70" s="2"/>
      <c r="V70" s="2"/>
      <c r="W70" s="2"/>
      <c r="X70" s="2"/>
    </row>
    <row r="71" spans="1:24">
      <c r="A71" s="2"/>
      <c r="B71" s="2"/>
      <c r="C71" s="2"/>
      <c r="D71" s="2"/>
      <c r="E71" s="2"/>
      <c r="F71" s="2"/>
      <c r="G71" s="2"/>
      <c r="H71" s="2"/>
      <c r="I71" s="2"/>
      <c r="J71" s="2"/>
      <c r="K71" s="2"/>
      <c r="L71" s="2"/>
      <c r="M71" s="2"/>
      <c r="N71" s="2"/>
      <c r="O71" s="2"/>
      <c r="P71" s="2"/>
      <c r="Q71" s="2"/>
      <c r="R71" s="2"/>
      <c r="S71" s="2"/>
      <c r="T71" s="2"/>
      <c r="U71" s="2"/>
      <c r="V71" s="2"/>
      <c r="W71" s="2"/>
      <c r="X71" s="2"/>
    </row>
    <row r="72" spans="1:24">
      <c r="A72" s="2"/>
      <c r="B72" s="2"/>
      <c r="C72" s="2"/>
      <c r="D72" s="2"/>
      <c r="E72" s="2"/>
      <c r="F72" s="2"/>
      <c r="G72" s="2"/>
      <c r="H72" s="2"/>
      <c r="I72" s="2"/>
      <c r="J72" s="2"/>
      <c r="K72" s="2"/>
      <c r="L72" s="2"/>
      <c r="M72" s="2"/>
      <c r="N72" s="2"/>
      <c r="O72" s="2"/>
      <c r="P72" s="2"/>
      <c r="Q72" s="2"/>
      <c r="R72" s="2"/>
      <c r="S72" s="2"/>
      <c r="T72" s="2"/>
      <c r="U72" s="2"/>
      <c r="V72" s="2"/>
      <c r="W72" s="2"/>
      <c r="X72" s="2"/>
    </row>
    <row r="73" spans="1:24">
      <c r="A73" s="2"/>
      <c r="B73" s="2"/>
      <c r="C73" s="2"/>
      <c r="D73" s="2"/>
      <c r="E73" s="2"/>
      <c r="F73" s="2"/>
      <c r="G73" s="2"/>
      <c r="H73" s="2"/>
      <c r="I73" s="2"/>
      <c r="J73" s="2"/>
      <c r="K73" s="2"/>
      <c r="L73" s="2"/>
      <c r="M73" s="2"/>
      <c r="N73" s="2"/>
      <c r="O73" s="2"/>
      <c r="P73" s="2"/>
      <c r="Q73" s="2"/>
      <c r="R73" s="2"/>
      <c r="S73" s="2"/>
      <c r="T73" s="2"/>
      <c r="U73" s="2"/>
      <c r="V73" s="2"/>
      <c r="W73" s="2"/>
      <c r="X73" s="2"/>
    </row>
    <row r="74" spans="1:24">
      <c r="A74" s="2"/>
      <c r="B74" s="2"/>
      <c r="C74" s="2"/>
      <c r="D74" s="2"/>
      <c r="E74" s="2"/>
      <c r="F74" s="2"/>
      <c r="G74" s="2"/>
      <c r="H74" s="2"/>
      <c r="I74" s="2"/>
      <c r="J74" s="2"/>
      <c r="K74" s="2"/>
      <c r="L74" s="2"/>
      <c r="M74" s="2"/>
      <c r="N74" s="2"/>
      <c r="O74" s="2"/>
      <c r="P74" s="2"/>
      <c r="Q74" s="2"/>
      <c r="R74" s="2"/>
      <c r="S74" s="2"/>
      <c r="T74" s="2"/>
      <c r="U74" s="2"/>
      <c r="V74" s="2"/>
      <c r="W74" s="2"/>
      <c r="X74" s="2"/>
    </row>
    <row r="75" spans="1:24">
      <c r="A75" s="2"/>
      <c r="B75" s="2"/>
      <c r="C75" s="2"/>
      <c r="D75" s="2"/>
      <c r="E75" s="2"/>
      <c r="F75" s="2"/>
      <c r="G75" s="2"/>
      <c r="H75" s="2"/>
      <c r="I75" s="2"/>
      <c r="J75" s="2"/>
      <c r="K75" s="2"/>
      <c r="L75" s="2"/>
      <c r="M75" s="2"/>
      <c r="N75" s="2"/>
      <c r="O75" s="2"/>
      <c r="P75" s="2"/>
      <c r="Q75" s="2"/>
      <c r="R75" s="2"/>
      <c r="S75" s="2"/>
      <c r="T75" s="2"/>
      <c r="U75" s="2"/>
      <c r="V75" s="2"/>
      <c r="W75" s="2"/>
      <c r="X75" s="2"/>
    </row>
    <row r="76" spans="1:24">
      <c r="A76" s="2"/>
      <c r="B76" s="2"/>
      <c r="C76" s="2"/>
      <c r="D76" s="2"/>
      <c r="E76" s="2"/>
      <c r="F76" s="2"/>
      <c r="G76" s="2"/>
      <c r="H76" s="2"/>
      <c r="I76" s="2"/>
      <c r="J76" s="2"/>
      <c r="K76" s="2"/>
      <c r="L76" s="2"/>
      <c r="M76" s="2"/>
      <c r="N76" s="2"/>
      <c r="O76" s="2"/>
      <c r="P76" s="2"/>
      <c r="Q76" s="2"/>
      <c r="R76" s="2"/>
      <c r="S76" s="2"/>
      <c r="T76" s="2"/>
      <c r="U76" s="2"/>
      <c r="V76" s="2"/>
      <c r="W76" s="2"/>
      <c r="X76" s="2"/>
    </row>
    <row r="77" spans="1:24">
      <c r="A77" s="2"/>
      <c r="B77" s="2"/>
      <c r="C77" s="2"/>
      <c r="D77" s="2"/>
      <c r="E77" s="2"/>
      <c r="F77" s="2"/>
      <c r="G77" s="2"/>
      <c r="H77" s="2"/>
      <c r="I77" s="2"/>
      <c r="J77" s="2"/>
      <c r="K77" s="2"/>
      <c r="L77" s="2"/>
      <c r="M77" s="2"/>
      <c r="N77" s="2"/>
      <c r="O77" s="2"/>
      <c r="P77" s="2"/>
      <c r="Q77" s="2"/>
      <c r="R77" s="2"/>
      <c r="S77" s="2"/>
      <c r="T77" s="2"/>
      <c r="U77" s="2"/>
      <c r="V77" s="2"/>
      <c r="W77" s="2"/>
      <c r="X77" s="2"/>
    </row>
    <row r="78" spans="1:24">
      <c r="A78" s="2"/>
      <c r="B78" s="2"/>
      <c r="C78" s="2"/>
      <c r="D78" s="2"/>
      <c r="E78" s="2"/>
      <c r="F78" s="2"/>
      <c r="G78" s="2"/>
      <c r="H78" s="2"/>
      <c r="I78" s="2"/>
      <c r="J78" s="2"/>
      <c r="K78" s="2"/>
      <c r="L78" s="2"/>
      <c r="M78" s="2"/>
      <c r="N78" s="2"/>
      <c r="O78" s="2"/>
      <c r="P78" s="2"/>
      <c r="Q78" s="2"/>
      <c r="R78" s="2"/>
      <c r="S78" s="2"/>
      <c r="T78" s="2"/>
      <c r="U78" s="2"/>
      <c r="V78" s="2"/>
      <c r="W78" s="2"/>
      <c r="X78" s="2"/>
    </row>
    <row r="79" spans="1:24">
      <c r="A79" s="2"/>
      <c r="B79" s="2"/>
      <c r="C79" s="2"/>
      <c r="D79" s="2"/>
      <c r="E79" s="2"/>
      <c r="F79" s="2"/>
      <c r="G79" s="2"/>
      <c r="H79" s="2"/>
      <c r="I79" s="2"/>
      <c r="J79" s="2"/>
      <c r="K79" s="2"/>
      <c r="L79" s="2"/>
      <c r="M79" s="2"/>
      <c r="N79" s="2"/>
      <c r="O79" s="2"/>
      <c r="P79" s="2"/>
      <c r="Q79" s="2"/>
      <c r="R79" s="2"/>
      <c r="S79" s="2"/>
      <c r="T79" s="2"/>
      <c r="U79" s="2"/>
      <c r="V79" s="2"/>
      <c r="W79" s="2"/>
      <c r="X79" s="2"/>
    </row>
    <row r="80" spans="1:24">
      <c r="A80" s="2"/>
      <c r="B80" s="2"/>
      <c r="C80" s="2"/>
      <c r="D80" s="2"/>
      <c r="E80" s="2"/>
      <c r="F80" s="2"/>
      <c r="G80" s="2"/>
      <c r="H80" s="2"/>
      <c r="I80" s="2"/>
      <c r="J80" s="2"/>
      <c r="K80" s="2"/>
      <c r="L80" s="2"/>
      <c r="M80" s="2"/>
      <c r="N80" s="2"/>
      <c r="O80" s="2"/>
      <c r="P80" s="2"/>
      <c r="Q80" s="2"/>
      <c r="R80" s="2"/>
      <c r="S80" s="2"/>
      <c r="T80" s="2"/>
      <c r="U80" s="2"/>
      <c r="V80" s="2"/>
      <c r="W80" s="2"/>
      <c r="X80" s="2"/>
    </row>
  </sheetData>
  <mergeCells count="11">
    <mergeCell ref="A1:H1"/>
    <mergeCell ref="A2:H2"/>
    <mergeCell ref="F5:H5"/>
    <mergeCell ref="B13:H14"/>
    <mergeCell ref="B16:H17"/>
    <mergeCell ref="B37:H37"/>
    <mergeCell ref="B19:H21"/>
    <mergeCell ref="B23:H25"/>
    <mergeCell ref="B27:H29"/>
    <mergeCell ref="B31:H33"/>
    <mergeCell ref="B35:H3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AB96B11-077E-453D-9397-11F881356E59}">
          <x14:formula1>
            <xm:f>'Master Data'!$A$2:$A$46</xm:f>
          </x14:formula1>
          <xm:sqref>B3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6"/>
  <sheetViews>
    <sheetView workbookViewId="0">
      <selection sqref="A1:H1"/>
    </sheetView>
  </sheetViews>
  <sheetFormatPr defaultRowHeight="14"/>
  <cols>
    <col min="1" max="1" width="24" customWidth="1"/>
    <col min="2" max="2" width="18" customWidth="1"/>
    <col min="3" max="3" width="16" customWidth="1"/>
    <col min="4" max="5" width="34" customWidth="1"/>
    <col min="6" max="8" width="32" customWidth="1"/>
  </cols>
  <sheetData>
    <row r="1" spans="1:8" ht="8.25" customHeight="1">
      <c r="A1" s="61" t="s">
        <v>552</v>
      </c>
      <c r="B1" s="39"/>
      <c r="C1" s="39"/>
      <c r="D1" s="39"/>
      <c r="E1" s="39"/>
      <c r="F1" s="39"/>
      <c r="G1" s="39"/>
      <c r="H1" s="39"/>
    </row>
    <row r="3" spans="1:8">
      <c r="A3" s="1" t="s">
        <v>553</v>
      </c>
      <c r="B3" s="1" t="s">
        <v>554</v>
      </c>
      <c r="C3" s="1" t="s">
        <v>555</v>
      </c>
      <c r="D3" s="1" t="s">
        <v>556</v>
      </c>
      <c r="E3" s="1" t="s">
        <v>557</v>
      </c>
      <c r="F3" s="1" t="s">
        <v>558</v>
      </c>
      <c r="G3" s="1" t="s">
        <v>559</v>
      </c>
      <c r="H3" s="1" t="s">
        <v>560</v>
      </c>
    </row>
    <row r="4" spans="1:8" ht="42">
      <c r="A4" s="11" t="s">
        <v>561</v>
      </c>
      <c r="B4" s="11" t="s">
        <v>562</v>
      </c>
      <c r="C4" s="11" t="s">
        <v>563</v>
      </c>
      <c r="D4" s="11" t="s">
        <v>564</v>
      </c>
      <c r="E4" s="11" t="s">
        <v>565</v>
      </c>
      <c r="F4" s="11" t="s">
        <v>566</v>
      </c>
      <c r="G4" s="11" t="s">
        <v>567</v>
      </c>
      <c r="H4" s="11" t="s">
        <v>568</v>
      </c>
    </row>
    <row r="6" spans="1:8">
      <c r="A6" s="1" t="s">
        <v>569</v>
      </c>
      <c r="B6" s="1" t="s">
        <v>0</v>
      </c>
      <c r="C6" s="1" t="s">
        <v>570</v>
      </c>
      <c r="D6" s="1" t="s">
        <v>571</v>
      </c>
      <c r="E6" s="1" t="s">
        <v>12</v>
      </c>
      <c r="F6" s="1" t="s">
        <v>572</v>
      </c>
      <c r="G6" s="1" t="s">
        <v>573</v>
      </c>
      <c r="H6" s="1" t="s">
        <v>574</v>
      </c>
    </row>
    <row r="7" spans="1:8" ht="56">
      <c r="A7" s="2">
        <v>1</v>
      </c>
      <c r="B7" s="2" t="s">
        <v>24</v>
      </c>
      <c r="C7" s="12">
        <v>90.6</v>
      </c>
      <c r="D7" s="2" t="s">
        <v>28</v>
      </c>
      <c r="E7" s="2" t="s">
        <v>29</v>
      </c>
      <c r="F7" s="2" t="s">
        <v>30</v>
      </c>
      <c r="G7" s="2" t="s">
        <v>36</v>
      </c>
      <c r="H7" s="2" t="s">
        <v>37</v>
      </c>
    </row>
    <row r="8" spans="1:8" ht="42">
      <c r="A8" s="2">
        <v>2</v>
      </c>
      <c r="B8" s="2" t="s">
        <v>72</v>
      </c>
      <c r="C8" s="12">
        <v>87.3</v>
      </c>
      <c r="D8" s="2" t="s">
        <v>43</v>
      </c>
      <c r="E8" s="2" t="s">
        <v>75</v>
      </c>
      <c r="F8" s="2" t="s">
        <v>76</v>
      </c>
      <c r="G8" s="2" t="s">
        <v>82</v>
      </c>
      <c r="H8" s="2" t="s">
        <v>83</v>
      </c>
    </row>
    <row r="9" spans="1:8" ht="42">
      <c r="A9" s="2">
        <v>3</v>
      </c>
      <c r="B9" s="2" t="s">
        <v>575</v>
      </c>
      <c r="C9" s="12">
        <v>87.2</v>
      </c>
      <c r="D9" s="2" t="s">
        <v>43</v>
      </c>
      <c r="E9" s="2" t="s">
        <v>101</v>
      </c>
      <c r="F9" s="2" t="s">
        <v>102</v>
      </c>
      <c r="G9" s="2" t="s">
        <v>108</v>
      </c>
      <c r="H9" s="2" t="s">
        <v>109</v>
      </c>
    </row>
    <row r="10" spans="1:8" ht="28">
      <c r="A10" s="2">
        <v>4</v>
      </c>
      <c r="B10" s="2" t="s">
        <v>87</v>
      </c>
      <c r="C10" s="12">
        <v>86.8</v>
      </c>
      <c r="D10" s="2" t="s">
        <v>43</v>
      </c>
      <c r="E10" s="2" t="s">
        <v>89</v>
      </c>
      <c r="F10" s="2" t="s">
        <v>62</v>
      </c>
      <c r="G10" s="2" t="s">
        <v>94</v>
      </c>
      <c r="H10" s="2" t="s">
        <v>95</v>
      </c>
    </row>
    <row r="11" spans="1:8" ht="42">
      <c r="A11" s="2">
        <v>5</v>
      </c>
      <c r="B11" s="2" t="s">
        <v>41</v>
      </c>
      <c r="C11" s="12">
        <v>85.3</v>
      </c>
      <c r="D11" s="2" t="s">
        <v>43</v>
      </c>
      <c r="E11" s="2" t="s">
        <v>44</v>
      </c>
      <c r="F11" s="2" t="s">
        <v>45</v>
      </c>
      <c r="G11" s="2" t="s">
        <v>51</v>
      </c>
      <c r="H11" s="2" t="s">
        <v>52</v>
      </c>
    </row>
    <row r="12" spans="1:8" ht="42">
      <c r="A12" s="2">
        <v>6</v>
      </c>
      <c r="B12" s="2" t="s">
        <v>56</v>
      </c>
      <c r="C12" s="12">
        <v>82.3</v>
      </c>
      <c r="D12" s="2" t="s">
        <v>60</v>
      </c>
      <c r="E12" s="2" t="s">
        <v>61</v>
      </c>
      <c r="F12" s="2" t="s">
        <v>62</v>
      </c>
      <c r="G12" s="2" t="s">
        <v>68</v>
      </c>
      <c r="H12" s="2" t="s">
        <v>69</v>
      </c>
    </row>
    <row r="13" spans="1:8" ht="42">
      <c r="A13" s="2">
        <v>7</v>
      </c>
      <c r="B13" s="2" t="s">
        <v>111</v>
      </c>
      <c r="C13" s="12">
        <v>81.900000000000006</v>
      </c>
      <c r="D13" s="2" t="s">
        <v>60</v>
      </c>
      <c r="E13" s="2" t="s">
        <v>114</v>
      </c>
      <c r="F13" s="2" t="s">
        <v>115</v>
      </c>
      <c r="G13" s="2" t="s">
        <v>119</v>
      </c>
      <c r="H13" s="2" t="s">
        <v>120</v>
      </c>
    </row>
    <row r="14" spans="1:8" ht="42">
      <c r="A14" s="2">
        <v>8</v>
      </c>
      <c r="B14" s="2" t="s">
        <v>134</v>
      </c>
      <c r="C14" s="12">
        <v>81.2</v>
      </c>
      <c r="D14" s="2" t="s">
        <v>136</v>
      </c>
      <c r="E14" s="2" t="s">
        <v>137</v>
      </c>
      <c r="F14" s="2" t="s">
        <v>138</v>
      </c>
      <c r="G14" s="2" t="s">
        <v>144</v>
      </c>
      <c r="H14" s="2" t="s">
        <v>145</v>
      </c>
    </row>
    <row r="15" spans="1:8" ht="42">
      <c r="A15" s="2">
        <v>9</v>
      </c>
      <c r="B15" s="2" t="s">
        <v>177</v>
      </c>
      <c r="C15" s="12">
        <v>81.2</v>
      </c>
      <c r="D15" s="2" t="s">
        <v>136</v>
      </c>
      <c r="E15" s="2" t="s">
        <v>180</v>
      </c>
      <c r="F15" s="2" t="s">
        <v>138</v>
      </c>
      <c r="G15" s="2" t="s">
        <v>184</v>
      </c>
      <c r="H15" s="2" t="s">
        <v>185</v>
      </c>
    </row>
    <row r="16" spans="1:8" ht="42">
      <c r="A16" s="2">
        <v>10</v>
      </c>
      <c r="B16" s="2" t="s">
        <v>200</v>
      </c>
      <c r="C16" s="12">
        <v>80.5</v>
      </c>
      <c r="D16" s="2" t="s">
        <v>136</v>
      </c>
      <c r="E16" s="2" t="s">
        <v>202</v>
      </c>
      <c r="F16" s="2" t="s">
        <v>203</v>
      </c>
      <c r="G16" s="2" t="s">
        <v>208</v>
      </c>
      <c r="H16" s="2" t="s">
        <v>209</v>
      </c>
    </row>
    <row r="17" spans="1:8" ht="42">
      <c r="A17" s="2">
        <v>11</v>
      </c>
      <c r="B17" s="2" t="s">
        <v>164</v>
      </c>
      <c r="C17" s="12">
        <v>80.2</v>
      </c>
      <c r="D17" s="2" t="s">
        <v>136</v>
      </c>
      <c r="E17" s="2" t="s">
        <v>167</v>
      </c>
      <c r="F17" s="2" t="s">
        <v>168</v>
      </c>
      <c r="G17" s="2" t="s">
        <v>173</v>
      </c>
      <c r="H17" s="2" t="s">
        <v>174</v>
      </c>
    </row>
    <row r="18" spans="1:8" ht="42">
      <c r="A18" s="2">
        <v>12</v>
      </c>
      <c r="B18" s="2" t="s">
        <v>123</v>
      </c>
      <c r="C18" s="12">
        <v>79.900000000000006</v>
      </c>
      <c r="D18" s="2" t="s">
        <v>60</v>
      </c>
      <c r="E18" s="2" t="s">
        <v>124</v>
      </c>
      <c r="F18" s="2" t="s">
        <v>125</v>
      </c>
      <c r="G18" s="2" t="s">
        <v>129</v>
      </c>
      <c r="H18" s="2" t="s">
        <v>130</v>
      </c>
    </row>
    <row r="19" spans="1:8" ht="42">
      <c r="A19" s="2">
        <v>13</v>
      </c>
      <c r="B19" s="2" t="s">
        <v>224</v>
      </c>
      <c r="C19" s="12">
        <v>78.099999999999994</v>
      </c>
      <c r="D19" s="2" t="s">
        <v>214</v>
      </c>
      <c r="E19" s="2" t="s">
        <v>227</v>
      </c>
      <c r="F19" s="2" t="s">
        <v>228</v>
      </c>
      <c r="G19" s="2" t="s">
        <v>232</v>
      </c>
      <c r="H19" s="2" t="s">
        <v>233</v>
      </c>
    </row>
    <row r="20" spans="1:8" ht="42">
      <c r="A20" s="2">
        <v>14</v>
      </c>
      <c r="B20" s="2" t="s">
        <v>188</v>
      </c>
      <c r="C20" s="12">
        <v>77.400000000000006</v>
      </c>
      <c r="D20" s="2" t="s">
        <v>136</v>
      </c>
      <c r="E20" s="2" t="s">
        <v>191</v>
      </c>
      <c r="F20" s="2" t="s">
        <v>192</v>
      </c>
      <c r="G20" s="2" t="s">
        <v>196</v>
      </c>
      <c r="H20" s="2" t="s">
        <v>197</v>
      </c>
    </row>
    <row r="21" spans="1:8" ht="42">
      <c r="A21" s="2">
        <v>15</v>
      </c>
      <c r="B21" s="2" t="s">
        <v>236</v>
      </c>
      <c r="C21" s="12">
        <v>74.900000000000006</v>
      </c>
      <c r="D21" s="2" t="s">
        <v>214</v>
      </c>
      <c r="E21" s="2" t="s">
        <v>239</v>
      </c>
      <c r="F21" s="2" t="s">
        <v>240</v>
      </c>
      <c r="G21" s="2" t="s">
        <v>245</v>
      </c>
      <c r="H21" s="2" t="s">
        <v>246</v>
      </c>
    </row>
    <row r="22" spans="1:8" ht="42">
      <c r="A22" s="2">
        <v>16</v>
      </c>
      <c r="B22" s="2" t="s">
        <v>211</v>
      </c>
      <c r="C22" s="12">
        <v>74.8</v>
      </c>
      <c r="D22" s="2" t="s">
        <v>214</v>
      </c>
      <c r="E22" s="2" t="s">
        <v>215</v>
      </c>
      <c r="F22" s="2" t="s">
        <v>216</v>
      </c>
      <c r="G22" s="2" t="s">
        <v>220</v>
      </c>
      <c r="H22" s="2" t="s">
        <v>221</v>
      </c>
    </row>
    <row r="23" spans="1:8" ht="42">
      <c r="A23" s="2">
        <v>17</v>
      </c>
      <c r="B23" s="2" t="s">
        <v>315</v>
      </c>
      <c r="C23" s="12">
        <v>74.5</v>
      </c>
      <c r="D23" s="2" t="s">
        <v>253</v>
      </c>
      <c r="E23" s="2" t="s">
        <v>318</v>
      </c>
      <c r="F23" s="2" t="s">
        <v>319</v>
      </c>
      <c r="G23" s="2" t="s">
        <v>323</v>
      </c>
      <c r="H23" s="2" t="s">
        <v>324</v>
      </c>
    </row>
    <row r="24" spans="1:8" ht="28">
      <c r="A24" s="2">
        <v>18</v>
      </c>
      <c r="B24" s="2" t="s">
        <v>326</v>
      </c>
      <c r="C24" s="12">
        <v>72.5</v>
      </c>
      <c r="D24" s="2" t="s">
        <v>253</v>
      </c>
      <c r="E24" s="2" t="s">
        <v>328</v>
      </c>
      <c r="F24" s="2" t="s">
        <v>309</v>
      </c>
      <c r="G24" s="2" t="s">
        <v>332</v>
      </c>
      <c r="H24" s="2" t="s">
        <v>333</v>
      </c>
    </row>
    <row r="25" spans="1:8" ht="28">
      <c r="A25" s="2">
        <v>19</v>
      </c>
      <c r="B25" s="2" t="s">
        <v>335</v>
      </c>
      <c r="C25" s="12">
        <v>72.400000000000006</v>
      </c>
      <c r="D25" s="2" t="s">
        <v>253</v>
      </c>
      <c r="E25" s="2" t="s">
        <v>337</v>
      </c>
      <c r="F25" s="2" t="s">
        <v>309</v>
      </c>
      <c r="G25" s="2" t="s">
        <v>341</v>
      </c>
      <c r="H25" s="2" t="s">
        <v>342</v>
      </c>
    </row>
    <row r="26" spans="1:8" ht="42">
      <c r="A26" s="2">
        <v>20</v>
      </c>
      <c r="B26" s="2" t="s">
        <v>390</v>
      </c>
      <c r="C26" s="12">
        <v>72.400000000000006</v>
      </c>
      <c r="D26" s="2" t="s">
        <v>286</v>
      </c>
      <c r="E26" s="2" t="s">
        <v>393</v>
      </c>
      <c r="F26" s="2" t="s">
        <v>298</v>
      </c>
      <c r="G26" s="2" t="s">
        <v>398</v>
      </c>
      <c r="H26" s="2" t="s">
        <v>399</v>
      </c>
    </row>
  </sheetData>
  <mergeCells count="1">
    <mergeCell ref="A1:H1"/>
  </mergeCells>
  <conditionalFormatting sqref="C7:C26">
    <cfRule type="colorScale" priority="1">
      <colorScale>
        <cfvo type="min"/>
        <cfvo type="percentile" val="50"/>
        <cfvo type="max"/>
        <color rgb="FFFECACA"/>
        <color rgb="FFFEF3C7"/>
        <color rgb="FFDCFCE7"/>
      </colorScale>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workbookViewId="0"/>
  </sheetViews>
  <sheetFormatPr defaultRowHeight="14"/>
  <cols>
    <col min="1" max="1" width="28" customWidth="1"/>
    <col min="2" max="2" width="70" customWidth="1"/>
    <col min="3" max="3" width="50" customWidth="1"/>
  </cols>
  <sheetData>
    <row r="1" spans="1:3" ht="8.25" customHeight="1">
      <c r="A1" s="1" t="s">
        <v>576</v>
      </c>
      <c r="B1" s="1" t="s">
        <v>577</v>
      </c>
      <c r="C1" s="2"/>
    </row>
    <row r="2" spans="1:3" ht="28">
      <c r="A2" s="2" t="s">
        <v>578</v>
      </c>
      <c r="B2" s="2" t="s">
        <v>579</v>
      </c>
      <c r="C2" s="2"/>
    </row>
    <row r="3" spans="1:3">
      <c r="A3" s="2" t="s">
        <v>580</v>
      </c>
      <c r="B3" s="2" t="s">
        <v>581</v>
      </c>
      <c r="C3" s="2"/>
    </row>
    <row r="4" spans="1:3" ht="28">
      <c r="A4" s="2" t="s">
        <v>582</v>
      </c>
      <c r="B4" s="2" t="s">
        <v>583</v>
      </c>
      <c r="C4" s="2"/>
    </row>
    <row r="5" spans="1:3" ht="28">
      <c r="A5" s="2" t="s">
        <v>584</v>
      </c>
      <c r="B5" s="2" t="s">
        <v>585</v>
      </c>
      <c r="C5" s="2"/>
    </row>
    <row r="6" spans="1:3" ht="28">
      <c r="A6" s="2" t="s">
        <v>586</v>
      </c>
      <c r="B6" s="2" t="s">
        <v>587</v>
      </c>
      <c r="C6" s="2"/>
    </row>
    <row r="7" spans="1:3" ht="28">
      <c r="A7" s="2" t="s">
        <v>588</v>
      </c>
      <c r="B7" s="2" t="s">
        <v>589</v>
      </c>
      <c r="C7" s="2"/>
    </row>
    <row r="8" spans="1:3">
      <c r="A8" s="2"/>
      <c r="B8" s="2"/>
      <c r="C8" s="2"/>
    </row>
    <row r="9" spans="1:3">
      <c r="A9" s="1" t="s">
        <v>590</v>
      </c>
      <c r="B9" s="1" t="s">
        <v>591</v>
      </c>
      <c r="C9" s="1" t="s">
        <v>592</v>
      </c>
    </row>
    <row r="10" spans="1:3" ht="28">
      <c r="A10" s="2" t="s">
        <v>593</v>
      </c>
      <c r="B10" s="2" t="s">
        <v>594</v>
      </c>
      <c r="C10" s="2" t="s">
        <v>595</v>
      </c>
    </row>
    <row r="11" spans="1:3">
      <c r="A11" s="2" t="s">
        <v>596</v>
      </c>
      <c r="B11" s="2" t="s">
        <v>484</v>
      </c>
      <c r="C11" s="2" t="s">
        <v>597</v>
      </c>
    </row>
    <row r="12" spans="1:3">
      <c r="A12" s="2" t="s">
        <v>598</v>
      </c>
      <c r="B12" s="2" t="s">
        <v>176</v>
      </c>
      <c r="C12" s="2" t="s">
        <v>599</v>
      </c>
    </row>
    <row r="13" spans="1:3" ht="28">
      <c r="A13" s="2" t="s">
        <v>600</v>
      </c>
      <c r="B13" s="2" t="s">
        <v>97</v>
      </c>
      <c r="C13" s="2" t="s">
        <v>601</v>
      </c>
    </row>
    <row r="14" spans="1:3" ht="28">
      <c r="A14" s="2" t="s">
        <v>602</v>
      </c>
      <c r="B14" s="2" t="s">
        <v>55</v>
      </c>
      <c r="C14" s="2" t="s">
        <v>603</v>
      </c>
    </row>
    <row r="15" spans="1:3" ht="28">
      <c r="A15" s="2" t="s">
        <v>604</v>
      </c>
      <c r="B15" s="2" t="s">
        <v>133</v>
      </c>
      <c r="C15" s="2" t="s">
        <v>605</v>
      </c>
    </row>
    <row r="16" spans="1:3" ht="28">
      <c r="A16" s="2" t="s">
        <v>606</v>
      </c>
      <c r="B16" s="2" t="s">
        <v>147</v>
      </c>
      <c r="C16" s="2" t="s">
        <v>607</v>
      </c>
    </row>
    <row r="17" spans="1:3">
      <c r="A17" s="2" t="s">
        <v>608</v>
      </c>
      <c r="B17" s="2" t="s">
        <v>609</v>
      </c>
      <c r="C17" s="2" t="s">
        <v>610</v>
      </c>
    </row>
    <row r="18" spans="1:3" ht="28">
      <c r="A18" s="2" t="s">
        <v>611</v>
      </c>
      <c r="B18" s="2" t="s">
        <v>54</v>
      </c>
      <c r="C18" s="2" t="s">
        <v>612</v>
      </c>
    </row>
    <row r="19" spans="1:3">
      <c r="A19" s="2" t="s">
        <v>613</v>
      </c>
      <c r="B19" s="2" t="s">
        <v>39</v>
      </c>
      <c r="C19" s="2" t="s">
        <v>614</v>
      </c>
    </row>
    <row r="20" spans="1:3">
      <c r="A20" s="2" t="s">
        <v>615</v>
      </c>
      <c r="B20" s="2" t="s">
        <v>40</v>
      </c>
      <c r="C20" s="2" t="s">
        <v>616</v>
      </c>
    </row>
    <row r="21" spans="1:3">
      <c r="A21" s="2" t="s">
        <v>617</v>
      </c>
      <c r="B21" s="2" t="s">
        <v>148</v>
      </c>
      <c r="C21" s="2" t="s">
        <v>618</v>
      </c>
    </row>
    <row r="22" spans="1:3">
      <c r="A22" s="2" t="s">
        <v>619</v>
      </c>
      <c r="B22" s="2" t="s">
        <v>71</v>
      </c>
      <c r="C22" s="2" t="s">
        <v>620</v>
      </c>
    </row>
    <row r="23" spans="1:3" ht="28">
      <c r="A23" s="2" t="s">
        <v>621</v>
      </c>
      <c r="B23" s="2" t="s">
        <v>249</v>
      </c>
      <c r="C23" s="2" t="s">
        <v>622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4"/>
  <sheetViews>
    <sheetView tabSelected="1" zoomScale="75" zoomScaleNormal="75" workbookViewId="0">
      <selection activeCell="A21" sqref="A21"/>
    </sheetView>
  </sheetViews>
  <sheetFormatPr defaultRowHeight="14"/>
  <cols>
    <col min="1" max="1" width="18.4140625" customWidth="1"/>
    <col min="2" max="2" width="24" customWidth="1"/>
    <col min="3" max="6" width="10" customWidth="1"/>
    <col min="7" max="10" width="14" customWidth="1"/>
    <col min="11" max="14" width="24" customWidth="1"/>
    <col min="15" max="15" width="26" customWidth="1"/>
  </cols>
  <sheetData>
    <row r="1" spans="1:15" ht="29.5" customHeight="1">
      <c r="A1" s="38" t="s">
        <v>623</v>
      </c>
      <c r="B1" s="39"/>
      <c r="C1" s="39"/>
      <c r="D1" s="39"/>
      <c r="E1" s="39"/>
      <c r="F1" s="39"/>
      <c r="G1" s="39"/>
      <c r="H1" s="39"/>
      <c r="I1" s="39"/>
      <c r="J1" s="39"/>
      <c r="K1" s="39"/>
      <c r="L1" s="39"/>
      <c r="M1" s="39"/>
    </row>
    <row r="3" spans="1:15" ht="18.5" customHeight="1">
      <c r="A3" s="16" t="s">
        <v>553</v>
      </c>
      <c r="B3" s="17" t="s">
        <v>624</v>
      </c>
      <c r="D3" s="52" t="s">
        <v>625</v>
      </c>
      <c r="E3" s="52"/>
      <c r="F3" s="52"/>
      <c r="G3" s="52"/>
      <c r="H3" s="52"/>
      <c r="I3" s="52"/>
      <c r="J3" s="52"/>
      <c r="K3" s="52"/>
      <c r="L3" s="52"/>
      <c r="M3" s="52"/>
      <c r="N3" s="52"/>
      <c r="O3" s="52"/>
    </row>
    <row r="4" spans="1:15" ht="9.4" customHeight="1">
      <c r="A4" s="16" t="s">
        <v>626</v>
      </c>
      <c r="B4" s="17">
        <v>70</v>
      </c>
      <c r="D4" s="47" t="s">
        <v>673</v>
      </c>
      <c r="E4" s="48"/>
      <c r="F4" s="48"/>
      <c r="G4" s="48"/>
      <c r="H4" s="48"/>
      <c r="I4" s="48"/>
      <c r="J4" s="48"/>
      <c r="K4" s="48"/>
      <c r="L4" s="48"/>
      <c r="M4" s="48"/>
      <c r="N4" s="48"/>
      <c r="O4" s="48"/>
    </row>
    <row r="5" spans="1:15" ht="28">
      <c r="A5" s="16" t="s">
        <v>627</v>
      </c>
      <c r="B5" s="31" t="s">
        <v>628</v>
      </c>
      <c r="D5" s="47"/>
      <c r="E5" s="48"/>
      <c r="F5" s="48"/>
      <c r="G5" s="48"/>
      <c r="H5" s="48"/>
      <c r="I5" s="48"/>
      <c r="J5" s="48"/>
      <c r="K5" s="48"/>
      <c r="L5" s="48"/>
      <c r="M5" s="48"/>
      <c r="N5" s="48"/>
      <c r="O5" s="48"/>
    </row>
    <row r="6" spans="1:15" ht="32" customHeight="1">
      <c r="A6" s="16" t="s">
        <v>629</v>
      </c>
      <c r="B6" s="17" t="s">
        <v>630</v>
      </c>
      <c r="D6" s="47"/>
      <c r="E6" s="48"/>
      <c r="F6" s="48"/>
      <c r="G6" s="48"/>
      <c r="H6" s="48"/>
      <c r="I6" s="48"/>
      <c r="J6" s="48"/>
      <c r="K6" s="48"/>
      <c r="L6" s="48"/>
      <c r="M6" s="48"/>
      <c r="N6" s="48"/>
      <c r="O6" s="48"/>
    </row>
    <row r="7" spans="1:15">
      <c r="A7" s="36" t="s">
        <v>674</v>
      </c>
      <c r="B7" s="37">
        <v>8</v>
      </c>
      <c r="D7" s="49" t="s">
        <v>675</v>
      </c>
      <c r="E7" s="50"/>
      <c r="F7" s="50"/>
      <c r="G7" s="50"/>
      <c r="H7" s="50"/>
      <c r="I7" s="50"/>
      <c r="J7" s="50"/>
      <c r="K7" s="50"/>
      <c r="L7" s="50"/>
      <c r="M7" s="50"/>
      <c r="N7" s="50"/>
      <c r="O7" s="50"/>
    </row>
    <row r="8" spans="1:15">
      <c r="D8" s="47"/>
      <c r="E8" s="51"/>
      <c r="F8" s="51"/>
      <c r="G8" s="51"/>
      <c r="H8" s="51"/>
      <c r="I8" s="51"/>
      <c r="J8" s="51"/>
      <c r="K8" s="51"/>
      <c r="L8" s="51"/>
      <c r="M8" s="51"/>
      <c r="N8" s="51"/>
      <c r="O8" s="51"/>
    </row>
    <row r="9" spans="1:15" ht="9.75" customHeight="1">
      <c r="A9" s="15" t="s">
        <v>631</v>
      </c>
      <c r="B9" s="15" t="s">
        <v>0</v>
      </c>
      <c r="C9" s="15" t="s">
        <v>632</v>
      </c>
      <c r="D9" s="15" t="s">
        <v>633</v>
      </c>
      <c r="E9" s="15" t="s">
        <v>634</v>
      </c>
      <c r="F9" s="15" t="s">
        <v>635</v>
      </c>
      <c r="G9" s="15" t="s">
        <v>636</v>
      </c>
      <c r="H9" s="15" t="s">
        <v>637</v>
      </c>
      <c r="I9" s="15" t="s">
        <v>638</v>
      </c>
      <c r="J9" s="15" t="s">
        <v>639</v>
      </c>
      <c r="K9" s="15" t="s">
        <v>640</v>
      </c>
      <c r="L9" s="15" t="s">
        <v>641</v>
      </c>
      <c r="M9" s="15" t="s">
        <v>642</v>
      </c>
      <c r="N9" s="15" t="s">
        <v>643</v>
      </c>
      <c r="O9" t="s">
        <v>644</v>
      </c>
    </row>
    <row r="10" spans="1:15" ht="25.4" customHeight="1">
      <c r="A10" s="33">
        <v>1</v>
      </c>
      <c r="B10" s="35" t="s">
        <v>98</v>
      </c>
      <c r="C10" s="32">
        <v>68</v>
      </c>
      <c r="D10" s="32"/>
      <c r="E10" s="32"/>
      <c r="F10" s="32"/>
      <c r="G10" s="22">
        <f>COUNT(C10:F10)</f>
        <v>1</v>
      </c>
      <c r="H10" s="22">
        <f>IF(G10=0,"",SUM(C10:F10))</f>
        <v>68</v>
      </c>
      <c r="I10" s="20">
        <f t="shared" ref="I10:I16" si="0">IF(G10=0,"",H10-($B$4*G10))</f>
        <v>-2</v>
      </c>
      <c r="J10" s="18" t="str">
        <f>IF(G10&lt;2,"Need R1/R2",IF(SUM(C10:D10)-($B$4*2)&lt;=$B$7-4,"Likely safe",IF(SUM(C10:D10)-($B$4*2)&lt;=$B$7,"Cut watch","Cut danger")))</f>
        <v>Need R1/R2</v>
      </c>
      <c r="K10" s="18" t="str">
        <f>IF(C10="","",IF(C10&lt;=VLOOKUP($B10,'Score Rules'!$A:$F,3,FALSE)-2,"Great / better than expected",IF(C10&lt;=VLOOKUP($B10,'Score Rules'!$A:$F,4,FALSE),"Realistic score",IF(C10&lt;VLOOKUP($B10,'Score Rules'!$A:$F,6,FALSE),"Surprising poor score","Very surprising score"))))</f>
        <v>Great / better than expected</v>
      </c>
      <c r="L10" s="18" t="str">
        <f>IF(D10="","",IF(D10&lt;=VLOOKUP($B10,'Score Rules'!$A:$F,3,FALSE)-2,"Great / better than expected",IF(D10&lt;=VLOOKUP($B10,'Score Rules'!$A:$F,4,FALSE),"Realistic score",IF(D10&lt;VLOOKUP($B10,'Score Rules'!$A:$F,6,FALSE),"Surprising poor score","Very surprising score"))))</f>
        <v/>
      </c>
      <c r="M10" s="18" t="str">
        <f>IF(E10="","",IF(E10&lt;=VLOOKUP($B10,'Score Rules'!$A:$F,3,FALSE)-2,"Great / better than expected",IF(E10&lt;=VLOOKUP($B10,'Score Rules'!$A:$F,4,FALSE),"Realistic score",IF(E10&lt;VLOOKUP($B10,'Score Rules'!$A:$F,6,FALSE),"Surprising poor score","Very surprising score"))))</f>
        <v/>
      </c>
      <c r="N10" s="18" t="str">
        <f>IF(F10="","",IF(F10&lt;=VLOOKUP($B10,'Score Rules'!$A:$F,3,FALSE)-2,"Great / better than expected",IF(F10&lt;=VLOOKUP($B10,'Score Rules'!$A:$F,4,FALSE),"Realistic score",IF(F10&lt;VLOOKUP($B10,'Score Rules'!$A:$F,6,FALSE),"Surprising poor score","Very surprising score"))))</f>
        <v/>
      </c>
      <c r="O10" s="34"/>
    </row>
    <row r="11" spans="1:15" ht="25.4" customHeight="1">
      <c r="A11" s="33">
        <v>2</v>
      </c>
      <c r="B11" s="35" t="s">
        <v>200</v>
      </c>
      <c r="C11" s="32">
        <v>73</v>
      </c>
      <c r="D11" s="32"/>
      <c r="E11" s="32"/>
      <c r="F11" s="32"/>
      <c r="G11" s="22">
        <f t="shared" ref="G11:G15" si="1">COUNT(C11:F11)</f>
        <v>1</v>
      </c>
      <c r="H11" s="22">
        <f t="shared" ref="H11:H15" si="2">IF(G11=0,"",SUM(C11:F11))</f>
        <v>73</v>
      </c>
      <c r="I11" s="20">
        <f t="shared" si="0"/>
        <v>3</v>
      </c>
      <c r="J11" s="18" t="str">
        <f t="shared" ref="J11:J15" si="3">IF(G11&lt;2,"Need R1/R2",IF(SUM(C11:D11)-($B$4*2)&lt;=$B$7-4,"Likely safe",IF(SUM(C11:D11)-($B$4*2)&lt;=$B$7,"Cut watch","Cut danger")))</f>
        <v>Need R1/R2</v>
      </c>
      <c r="K11" s="18" t="str">
        <f>IF(C11="","",IF(C11&lt;=VLOOKUP($B11,'Score Rules'!$A:$F,3,FALSE)-2,"Great / better than expected",IF(C11&lt;=VLOOKUP($B11,'Score Rules'!$A:$F,4,FALSE),"Realistic score",IF(C11&lt;VLOOKUP($B11,'Score Rules'!$A:$F,6,FALSE),"Surprising poor score","Very surprising score"))))</f>
        <v>Realistic score</v>
      </c>
      <c r="L11" s="18" t="str">
        <f>IF(D11="","",IF(D11&lt;=VLOOKUP($B11,'Score Rules'!$A:$F,3,FALSE)-2,"Great / better than expected",IF(D11&lt;=VLOOKUP($B11,'Score Rules'!$A:$F,4,FALSE),"Realistic score",IF(D11&lt;VLOOKUP($B11,'Score Rules'!$A:$F,6,FALSE),"Surprising poor score","Very surprising score"))))</f>
        <v/>
      </c>
      <c r="M11" s="18" t="str">
        <f>IF(E11="","",IF(E11&lt;=VLOOKUP($B11,'Score Rules'!$A:$F,3,FALSE)-2,"Great / better than expected",IF(E11&lt;=VLOOKUP($B11,'Score Rules'!$A:$F,4,FALSE),"Realistic score",IF(E11&lt;VLOOKUP($B11,'Score Rules'!$A:$F,6,FALSE),"Surprising poor score","Very surprising score"))))</f>
        <v/>
      </c>
      <c r="N11" s="18" t="str">
        <f>IF(F11="","",IF(F11&lt;=VLOOKUP($B11,'Score Rules'!$A:$F,3,FALSE)-2,"Great / better than expected",IF(F11&lt;=VLOOKUP($B11,'Score Rules'!$A:$F,4,FALSE),"Realistic score",IF(F11&lt;VLOOKUP($B11,'Score Rules'!$A:$F,6,FALSE),"Surprising poor score","Very surprising score"))))</f>
        <v/>
      </c>
      <c r="O11" s="34"/>
    </row>
    <row r="12" spans="1:15" ht="25.4" customHeight="1">
      <c r="A12" s="33">
        <v>3</v>
      </c>
      <c r="B12" s="35" t="s">
        <v>326</v>
      </c>
      <c r="C12" s="32">
        <v>74</v>
      </c>
      <c r="D12" s="32"/>
      <c r="E12" s="32"/>
      <c r="F12" s="32"/>
      <c r="G12" s="22">
        <f t="shared" si="1"/>
        <v>1</v>
      </c>
      <c r="H12" s="22">
        <f t="shared" si="2"/>
        <v>74</v>
      </c>
      <c r="I12" s="20">
        <f t="shared" si="0"/>
        <v>4</v>
      </c>
      <c r="J12" s="18" t="str">
        <f t="shared" si="3"/>
        <v>Need R1/R2</v>
      </c>
      <c r="K12" s="18" t="str">
        <f>IF(C12="","",IF(C12&lt;=VLOOKUP($B12,'Score Rules'!$A:$F,3,FALSE)-2,"Great / better than expected",IF(C12&lt;=VLOOKUP($B12,'Score Rules'!$A:$F,4,FALSE),"Realistic score",IF(C12&lt;VLOOKUP($B12,'Score Rules'!$A:$F,6,FALSE),"Surprising poor score","Very surprising score"))))</f>
        <v>Realistic score</v>
      </c>
      <c r="L12" s="18" t="str">
        <f>IF(D12="","",IF(D12&lt;=VLOOKUP($B12,'Score Rules'!$A:$F,3,FALSE)-2,"Great / better than expected",IF(D12&lt;=VLOOKUP($B12,'Score Rules'!$A:$F,4,FALSE),"Realistic score",IF(D12&lt;VLOOKUP($B12,'Score Rules'!$A:$F,6,FALSE),"Surprising poor score","Very surprising score"))))</f>
        <v/>
      </c>
      <c r="M12" s="18" t="str">
        <f>IF(E12="","",IF(E12&lt;=VLOOKUP($B12,'Score Rules'!$A:$F,3,FALSE)-2,"Great / better than expected",IF(E12&lt;=VLOOKUP($B12,'Score Rules'!$A:$F,4,FALSE),"Realistic score",IF(E12&lt;VLOOKUP($B12,'Score Rules'!$A:$F,6,FALSE),"Surprising poor score","Very surprising score"))))</f>
        <v/>
      </c>
      <c r="N12" s="18" t="str">
        <f>IF(F12="","",IF(F12&lt;=VLOOKUP($B12,'Score Rules'!$A:$F,3,FALSE)-2,"Great / better than expected",IF(F12&lt;=VLOOKUP($B12,'Score Rules'!$A:$F,4,FALSE),"Realistic score",IF(F12&lt;VLOOKUP($B12,'Score Rules'!$A:$F,6,FALSE),"Surprising poor score","Very surprising score"))))</f>
        <v/>
      </c>
      <c r="O12" s="34"/>
    </row>
    <row r="13" spans="1:15" ht="25.4" customHeight="1">
      <c r="A13" s="33">
        <v>4</v>
      </c>
      <c r="B13" s="35" t="s">
        <v>455</v>
      </c>
      <c r="C13" s="32">
        <v>72</v>
      </c>
      <c r="D13" s="32"/>
      <c r="E13" s="32"/>
      <c r="F13" s="32"/>
      <c r="G13" s="22">
        <f t="shared" si="1"/>
        <v>1</v>
      </c>
      <c r="H13" s="22">
        <f t="shared" si="2"/>
        <v>72</v>
      </c>
      <c r="I13" s="20">
        <f t="shared" si="0"/>
        <v>2</v>
      </c>
      <c r="J13" s="18" t="str">
        <f t="shared" si="3"/>
        <v>Need R1/R2</v>
      </c>
      <c r="K13" s="18" t="str">
        <f>IF(C13="","",IF(C13&lt;=VLOOKUP($B13,'Score Rules'!$A:$F,3,FALSE)-2,"Great / better than expected",IF(C13&lt;=VLOOKUP($B13,'Score Rules'!$A:$F,4,FALSE),"Realistic score",IF(C13&lt;VLOOKUP($B13,'Score Rules'!$A:$F,6,FALSE),"Surprising poor score","Very surprising score"))))</f>
        <v>Realistic score</v>
      </c>
      <c r="L13" s="18" t="str">
        <f>IF(D13="","",IF(D13&lt;=VLOOKUP($B13,'Score Rules'!$A:$F,3,FALSE)-2,"Great / better than expected",IF(D13&lt;=VLOOKUP($B13,'Score Rules'!$A:$F,4,FALSE),"Realistic score",IF(D13&lt;VLOOKUP($B13,'Score Rules'!$A:$F,6,FALSE),"Surprising poor score","Very surprising score"))))</f>
        <v/>
      </c>
      <c r="M13" s="18" t="str">
        <f>IF(E13="","",IF(E13&lt;=VLOOKUP($B13,'Score Rules'!$A:$F,3,FALSE)-2,"Great / better than expected",IF(E13&lt;=VLOOKUP($B13,'Score Rules'!$A:$F,4,FALSE),"Realistic score",IF(E13&lt;VLOOKUP($B13,'Score Rules'!$A:$F,6,FALSE),"Surprising poor score","Very surprising score"))))</f>
        <v/>
      </c>
      <c r="N13" s="18" t="str">
        <f>IF(F13="","",IF(F13&lt;=VLOOKUP($B13,'Score Rules'!$A:$F,3,FALSE)-2,"Great / better than expected",IF(F13&lt;=VLOOKUP($B13,'Score Rules'!$A:$F,4,FALSE),"Realistic score",IF(F13&lt;VLOOKUP($B13,'Score Rules'!$A:$F,6,FALSE),"Surprising poor score","Very surprising score"))))</f>
        <v/>
      </c>
      <c r="O13" s="34"/>
    </row>
    <row r="14" spans="1:15" ht="25.4" customHeight="1">
      <c r="A14" s="33">
        <v>5</v>
      </c>
      <c r="B14" s="35" t="s">
        <v>470</v>
      </c>
      <c r="C14" s="32">
        <v>74</v>
      </c>
      <c r="D14" s="32"/>
      <c r="E14" s="32"/>
      <c r="F14" s="32"/>
      <c r="G14" s="22">
        <f t="shared" si="1"/>
        <v>1</v>
      </c>
      <c r="H14" s="22">
        <f t="shared" si="2"/>
        <v>74</v>
      </c>
      <c r="I14" s="20">
        <f t="shared" si="0"/>
        <v>4</v>
      </c>
      <c r="J14" s="18" t="str">
        <f t="shared" si="3"/>
        <v>Need R1/R2</v>
      </c>
      <c r="K14" s="18" t="str">
        <f>IF(C14="","",IF(C14&lt;=VLOOKUP($B14,'Score Rules'!$A:$F,3,FALSE)-2,"Great / better than expected",IF(C14&lt;=VLOOKUP($B14,'Score Rules'!$A:$F,4,FALSE),"Realistic score",IF(C14&lt;VLOOKUP($B14,'Score Rules'!$A:$F,6,FALSE),"Surprising poor score","Very surprising score"))))</f>
        <v>Realistic score</v>
      </c>
      <c r="L14" s="18" t="str">
        <f>IF(D14="","",IF(D14&lt;=VLOOKUP($B14,'Score Rules'!$A:$F,3,FALSE)-2,"Great / better than expected",IF(D14&lt;=VLOOKUP($B14,'Score Rules'!$A:$F,4,FALSE),"Realistic score",IF(D14&lt;VLOOKUP($B14,'Score Rules'!$A:$F,6,FALSE),"Surprising poor score","Very surprising score"))))</f>
        <v/>
      </c>
      <c r="M14" s="18" t="str">
        <f>IF(E14="","",IF(E14&lt;=VLOOKUP($B14,'Score Rules'!$A:$F,3,FALSE)-2,"Great / better than expected",IF(E14&lt;=VLOOKUP($B14,'Score Rules'!$A:$F,4,FALSE),"Realistic score",IF(E14&lt;VLOOKUP($B14,'Score Rules'!$A:$F,6,FALSE),"Surprising poor score","Very surprising score"))))</f>
        <v/>
      </c>
      <c r="N14" s="18" t="str">
        <f>IF(F14="","",IF(F14&lt;=VLOOKUP($B14,'Score Rules'!$A:$F,3,FALSE)-2,"Great / better than expected",IF(F14&lt;=VLOOKUP($B14,'Score Rules'!$A:$F,4,FALSE),"Realistic score",IF(F14&lt;VLOOKUP($B14,'Score Rules'!$A:$F,6,FALSE),"Surprising poor score","Very surprising score"))))</f>
        <v/>
      </c>
      <c r="O14" s="34"/>
    </row>
    <row r="15" spans="1:15" ht="25.4" customHeight="1">
      <c r="A15" s="33">
        <v>6</v>
      </c>
      <c r="B15" s="35" t="s">
        <v>485</v>
      </c>
      <c r="C15" s="32">
        <v>69</v>
      </c>
      <c r="D15" s="32"/>
      <c r="E15" s="32"/>
      <c r="F15" s="32"/>
      <c r="G15" s="22">
        <f t="shared" si="1"/>
        <v>1</v>
      </c>
      <c r="H15" s="22">
        <f t="shared" si="2"/>
        <v>69</v>
      </c>
      <c r="I15" s="20">
        <f t="shared" si="0"/>
        <v>-1</v>
      </c>
      <c r="J15" s="18" t="str">
        <f t="shared" si="3"/>
        <v>Need R1/R2</v>
      </c>
      <c r="K15" s="18" t="str">
        <f>IF(C15="","",IF(C15&lt;=VLOOKUP($B15,'Score Rules'!$A:$F,3,FALSE)-2,"Great / better than expected",IF(C15&lt;=VLOOKUP($B15,'Score Rules'!$A:$F,4,FALSE),"Realistic score",IF(C15&lt;VLOOKUP($B15,'Score Rules'!$A:$F,6,FALSE),"Surprising poor score","Very surprising score"))))</f>
        <v>Great / better than expected</v>
      </c>
      <c r="L15" s="18" t="str">
        <f>IF(D15="","",IF(D15&lt;=VLOOKUP($B15,'Score Rules'!$A:$F,3,FALSE)-2,"Great / better than expected",IF(D15&lt;=VLOOKUP($B15,'Score Rules'!$A:$F,4,FALSE),"Realistic score",IF(D15&lt;VLOOKUP($B15,'Score Rules'!$A:$F,6,FALSE),"Surprising poor score","Very surprising score"))))</f>
        <v/>
      </c>
      <c r="M15" s="18" t="str">
        <f>IF(E15="","",IF(E15&lt;=VLOOKUP($B15,'Score Rules'!$A:$F,3,FALSE)-2,"Great / better than expected",IF(E15&lt;=VLOOKUP($B15,'Score Rules'!$A:$F,4,FALSE),"Realistic score",IF(E15&lt;VLOOKUP($B15,'Score Rules'!$A:$F,6,FALSE),"Surprising poor score","Very surprising score"))))</f>
        <v/>
      </c>
      <c r="N15" s="18" t="str">
        <f>IF(F15="","",IF(F15&lt;=VLOOKUP($B15,'Score Rules'!$A:$F,3,FALSE)-2,"Great / better than expected",IF(F15&lt;=VLOOKUP($B15,'Score Rules'!$A:$F,4,FALSE),"Realistic score",IF(F15&lt;VLOOKUP($B15,'Score Rules'!$A:$F,6,FALSE),"Surprising poor score","Very surprising score"))))</f>
        <v/>
      </c>
      <c r="O15" s="34"/>
    </row>
    <row r="16" spans="1:15" ht="28">
      <c r="A16" s="19"/>
      <c r="B16" s="19" t="s">
        <v>645</v>
      </c>
      <c r="C16" s="19"/>
      <c r="D16" s="19"/>
      <c r="E16" s="19"/>
      <c r="F16" s="19"/>
      <c r="G16" s="23">
        <f>SUM(G10:G15)</f>
        <v>6</v>
      </c>
      <c r="H16" s="23">
        <f>IF(G16=0,"",SUM(H10:H15))</f>
        <v>430</v>
      </c>
      <c r="I16" s="21">
        <f t="shared" si="0"/>
        <v>10</v>
      </c>
      <c r="J16" s="19" t="str">
        <f>IF(COUNT(C10:D15)&lt;12,"Cut still pending",IF(COUNTIF(J10:J15,"Cut danger")&gt;0,"One or more in danger",IF(COUNTIF(J10:J15,"Cut watch")&gt;0,"Cut watch active","All likely safe")))</f>
        <v>Cut still pending</v>
      </c>
      <c r="K16" s="19"/>
      <c r="L16" s="19"/>
      <c r="M16" s="19"/>
      <c r="N16" s="19"/>
      <c r="O16" s="34"/>
    </row>
    <row r="18" spans="1:6" ht="16.5">
      <c r="A18" s="40" t="s">
        <v>646</v>
      </c>
      <c r="B18" s="41"/>
      <c r="C18" s="41"/>
      <c r="D18" s="41"/>
      <c r="E18" s="41"/>
      <c r="F18" s="42"/>
    </row>
    <row r="19" spans="1:6">
      <c r="A19" s="24"/>
      <c r="B19" s="13"/>
      <c r="C19" s="13"/>
      <c r="D19" s="13"/>
      <c r="E19" s="13"/>
      <c r="F19" s="25"/>
    </row>
    <row r="20" spans="1:6" ht="15" customHeight="1">
      <c r="A20" s="26" t="s">
        <v>550</v>
      </c>
      <c r="B20" s="14" t="s">
        <v>647</v>
      </c>
      <c r="C20" s="14" t="s">
        <v>648</v>
      </c>
      <c r="D20" s="14" t="s">
        <v>649</v>
      </c>
      <c r="E20" s="14" t="s">
        <v>650</v>
      </c>
      <c r="F20" s="27"/>
    </row>
    <row r="21" spans="1:6" ht="22" customHeight="1">
      <c r="A21" s="28" t="s">
        <v>134</v>
      </c>
      <c r="B21" s="29">
        <v>73</v>
      </c>
      <c r="C21" s="30">
        <f>IF(B21="","",B21-$B$4)</f>
        <v>3</v>
      </c>
      <c r="D21" s="43" t="str">
        <f>IF(B21="","",IF(B21&lt;=VLOOKUP(A21,'Score Rules'!$A:$F,3,FALSE)-2,"Great / better than expected",IF(B21&lt;=VLOOKUP(A21,'Score Rules'!$A:$F,4,FALSE),"Realistic score",IF(B21&lt;VLOOKUP(A21,'Score Rules'!$A:$F,6,FALSE),"Surprising poor score","Very surprising score"))))</f>
        <v>Realistic score</v>
      </c>
      <c r="E21" s="45" t="str">
        <f>IF(D21="","",IF(D21="Great / better than expected","Player is beating expected Shinnecock pace.",IF(D21="Realistic score","Normal U.S. Open survival round.",IF(D21="Surprising poor score","Worse than expected; watch cut pressure.","Major red flag for this player profile."))))</f>
        <v>Normal U.S. Open survival round.</v>
      </c>
    </row>
    <row r="22" spans="1:6">
      <c r="D22" s="44"/>
      <c r="E22" s="46"/>
    </row>
    <row r="23" spans="1:6">
      <c r="D23" s="44"/>
      <c r="E23" s="46"/>
    </row>
    <row r="24" spans="1:6">
      <c r="D24" s="44"/>
      <c r="E24" s="46"/>
    </row>
  </sheetData>
  <mergeCells count="6">
    <mergeCell ref="A1:M1"/>
    <mergeCell ref="A18:F18"/>
    <mergeCell ref="D21:D24"/>
    <mergeCell ref="E21:E24"/>
    <mergeCell ref="D4:O8"/>
    <mergeCell ref="D3:O3"/>
  </mergeCells>
  <conditionalFormatting sqref="D21">
    <cfRule type="expression" dxfId="16" priority="11">
      <formula>$D$21="Great / better than expected"</formula>
    </cfRule>
    <cfRule type="expression" dxfId="15" priority="12">
      <formula>$D$21="Realistic score"</formula>
    </cfRule>
    <cfRule type="expression" dxfId="14" priority="13">
      <formula>$D$21="Surprising poor score"</formula>
    </cfRule>
    <cfRule type="expression" dxfId="13" priority="14">
      <formula>$D$21="Very surprising score"</formula>
    </cfRule>
  </conditionalFormatting>
  <conditionalFormatting sqref="I10:I16">
    <cfRule type="cellIs" dxfId="12" priority="1" operator="lessThan">
      <formula>0</formula>
    </cfRule>
    <cfRule type="cellIs" dxfId="11" priority="2" operator="greaterThan">
      <formula>5</formula>
    </cfRule>
    <cfRule type="cellIs" dxfId="10" priority="3" operator="between">
      <formula>1</formula>
    </cfRule>
  </conditionalFormatting>
  <conditionalFormatting sqref="J10:J16">
    <cfRule type="expression" dxfId="9" priority="15">
      <formula>J10="Likely safe"</formula>
    </cfRule>
    <cfRule type="expression" dxfId="8" priority="16">
      <formula>J10="Cut watch"</formula>
    </cfRule>
    <cfRule type="expression" dxfId="7" priority="17">
      <formula>J10="Cut danger"</formula>
    </cfRule>
    <cfRule type="expression" dxfId="6" priority="18">
      <formula>J10="One or more in danger"</formula>
    </cfRule>
    <cfRule type="expression" dxfId="5" priority="19">
      <formula>J10="All likely safe"</formula>
    </cfRule>
    <cfRule type="expression" dxfId="4" priority="20">
      <formula>J10="Cut watch active"</formula>
    </cfRule>
  </conditionalFormatting>
  <conditionalFormatting sqref="K10:N15">
    <cfRule type="expression" dxfId="3" priority="7">
      <formula>K10="Great / better than expected"</formula>
    </cfRule>
    <cfRule type="expression" dxfId="2" priority="8">
      <formula>K10="Realistic score"</formula>
    </cfRule>
    <cfRule type="expression" dxfId="1" priority="9">
      <formula>K10="Surprising poor score"</formula>
    </cfRule>
    <cfRule type="expression" dxfId="0" priority="10">
      <formula>K10="Very surprising score"</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8C1D90D-4F27-4552-8F6F-9407F8124645}">
          <x14:formula1>
            <xm:f>'Master Data'!$A$2:$A$46</xm:f>
          </x14:formula1>
          <xm:sqref>A21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8"/>
  <sheetViews>
    <sheetView workbookViewId="0"/>
  </sheetViews>
  <sheetFormatPr defaultRowHeight="14"/>
  <cols>
    <col min="1" max="1" width="22" customWidth="1"/>
    <col min="2" max="6" width="14" customWidth="1"/>
    <col min="7" max="7" width="38" customWidth="1"/>
  </cols>
  <sheetData>
    <row r="1" spans="1:7" ht="28">
      <c r="A1" s="15" t="s">
        <v>0</v>
      </c>
      <c r="B1" s="15" t="s">
        <v>631</v>
      </c>
      <c r="C1" s="15" t="s">
        <v>651</v>
      </c>
      <c r="D1" s="15" t="s">
        <v>652</v>
      </c>
      <c r="E1" s="15" t="s">
        <v>653</v>
      </c>
      <c r="F1" s="15" t="s">
        <v>654</v>
      </c>
      <c r="G1" s="15" t="s">
        <v>655</v>
      </c>
    </row>
    <row r="2" spans="1:7">
      <c r="A2" s="2" t="s">
        <v>24</v>
      </c>
      <c r="B2" s="2">
        <v>1</v>
      </c>
      <c r="C2" s="2">
        <v>70.5</v>
      </c>
      <c r="D2" s="2">
        <v>74</v>
      </c>
      <c r="E2" s="2">
        <v>77</v>
      </c>
      <c r="F2" s="2">
        <v>79</v>
      </c>
      <c r="G2" s="2" t="s">
        <v>656</v>
      </c>
    </row>
    <row r="3" spans="1:7">
      <c r="A3" s="2" t="s">
        <v>98</v>
      </c>
      <c r="B3" s="2">
        <v>1</v>
      </c>
      <c r="C3" s="2">
        <v>71</v>
      </c>
      <c r="D3" s="2">
        <v>75</v>
      </c>
      <c r="E3" s="2">
        <v>77</v>
      </c>
      <c r="F3" s="2">
        <v>79</v>
      </c>
      <c r="G3" s="2" t="s">
        <v>657</v>
      </c>
    </row>
    <row r="4" spans="1:7">
      <c r="A4" s="2" t="s">
        <v>200</v>
      </c>
      <c r="B4" s="2">
        <v>2</v>
      </c>
      <c r="C4" s="2">
        <v>72</v>
      </c>
      <c r="D4" s="2">
        <v>76</v>
      </c>
      <c r="E4" s="2">
        <v>78</v>
      </c>
      <c r="F4" s="2">
        <v>80</v>
      </c>
      <c r="G4" s="2" t="s">
        <v>658</v>
      </c>
    </row>
    <row r="5" spans="1:7">
      <c r="A5" s="2" t="s">
        <v>326</v>
      </c>
      <c r="B5" s="2">
        <v>3</v>
      </c>
      <c r="C5" s="2">
        <v>72</v>
      </c>
      <c r="D5" s="2">
        <v>76</v>
      </c>
      <c r="E5" s="2">
        <v>78</v>
      </c>
      <c r="F5" s="2">
        <v>80</v>
      </c>
      <c r="G5" s="2" t="s">
        <v>659</v>
      </c>
    </row>
    <row r="6" spans="1:7">
      <c r="A6" s="2" t="s">
        <v>455</v>
      </c>
      <c r="B6" s="2">
        <v>4</v>
      </c>
      <c r="C6" s="2">
        <v>72.5</v>
      </c>
      <c r="D6" s="2">
        <v>76</v>
      </c>
      <c r="E6" s="2">
        <v>78</v>
      </c>
      <c r="F6" s="2">
        <v>80</v>
      </c>
      <c r="G6" s="2" t="s">
        <v>660</v>
      </c>
    </row>
    <row r="7" spans="1:7">
      <c r="A7" s="2" t="s">
        <v>470</v>
      </c>
      <c r="B7" s="2">
        <v>5</v>
      </c>
      <c r="C7" s="2">
        <v>73</v>
      </c>
      <c r="D7" s="2">
        <v>77</v>
      </c>
      <c r="E7" s="2">
        <v>79</v>
      </c>
      <c r="F7" s="2">
        <v>81</v>
      </c>
      <c r="G7" s="2" t="s">
        <v>661</v>
      </c>
    </row>
    <row r="8" spans="1:7">
      <c r="A8" s="2" t="s">
        <v>485</v>
      </c>
      <c r="B8" s="2">
        <v>6</v>
      </c>
      <c r="C8" s="2">
        <v>73</v>
      </c>
      <c r="D8" s="2">
        <v>77</v>
      </c>
      <c r="E8" s="2">
        <v>79</v>
      </c>
      <c r="F8" s="2">
        <v>81</v>
      </c>
      <c r="G8" s="2" t="s">
        <v>662</v>
      </c>
    </row>
    <row r="9" spans="1:7" ht="28">
      <c r="A9" s="2" t="s">
        <v>224</v>
      </c>
      <c r="B9" s="2">
        <v>4</v>
      </c>
      <c r="C9" s="2">
        <v>72</v>
      </c>
      <c r="D9" s="2">
        <v>76</v>
      </c>
      <c r="E9" s="2">
        <v>78</v>
      </c>
      <c r="F9" s="2">
        <v>80</v>
      </c>
      <c r="G9" s="2" t="s">
        <v>663</v>
      </c>
    </row>
    <row r="10" spans="1:7">
      <c r="A10" s="2" t="s">
        <v>111</v>
      </c>
      <c r="B10" s="2">
        <v>2</v>
      </c>
      <c r="C10" s="2">
        <v>71.5</v>
      </c>
      <c r="D10" s="2">
        <v>75</v>
      </c>
      <c r="E10" s="2">
        <v>78</v>
      </c>
      <c r="F10" s="2">
        <v>80</v>
      </c>
      <c r="G10" s="2" t="s">
        <v>664</v>
      </c>
    </row>
    <row r="11" spans="1:7">
      <c r="A11" s="2" t="s">
        <v>315</v>
      </c>
      <c r="B11" s="2">
        <v>3</v>
      </c>
      <c r="C11" s="2">
        <v>72</v>
      </c>
      <c r="D11" s="2">
        <v>76</v>
      </c>
      <c r="E11" s="2">
        <v>78</v>
      </c>
      <c r="F11" s="2">
        <v>80</v>
      </c>
      <c r="G11" s="2" t="s">
        <v>665</v>
      </c>
    </row>
    <row r="12" spans="1:7">
      <c r="A12" s="2" t="s">
        <v>56</v>
      </c>
      <c r="B12" s="2">
        <v>1</v>
      </c>
      <c r="C12" s="2">
        <v>71</v>
      </c>
      <c r="D12" s="2">
        <v>75</v>
      </c>
      <c r="E12" s="2">
        <v>78</v>
      </c>
      <c r="F12" s="2">
        <v>80</v>
      </c>
      <c r="G12" s="2" t="s">
        <v>666</v>
      </c>
    </row>
    <row r="13" spans="1:7">
      <c r="A13" s="2" t="s">
        <v>134</v>
      </c>
      <c r="B13" s="2">
        <v>1</v>
      </c>
      <c r="C13" s="2">
        <v>71.5</v>
      </c>
      <c r="D13" s="2">
        <v>75</v>
      </c>
      <c r="E13" s="2">
        <v>78</v>
      </c>
      <c r="F13" s="2">
        <v>80</v>
      </c>
      <c r="G13" s="2" t="s">
        <v>667</v>
      </c>
    </row>
    <row r="14" spans="1:7">
      <c r="A14" s="2" t="s">
        <v>250</v>
      </c>
      <c r="B14" s="2">
        <v>5</v>
      </c>
      <c r="C14" s="2">
        <v>73</v>
      </c>
      <c r="D14" s="2">
        <v>77</v>
      </c>
      <c r="E14" s="2">
        <v>79</v>
      </c>
      <c r="F14" s="2">
        <v>81</v>
      </c>
      <c r="G14" s="2" t="s">
        <v>668</v>
      </c>
    </row>
    <row r="15" spans="1:7">
      <c r="A15" s="2" t="s">
        <v>497</v>
      </c>
      <c r="B15" s="2">
        <v>6</v>
      </c>
      <c r="C15" s="2">
        <v>74</v>
      </c>
      <c r="D15" s="2">
        <v>78</v>
      </c>
      <c r="E15" s="2">
        <v>80</v>
      </c>
      <c r="F15" s="2">
        <v>82</v>
      </c>
      <c r="G15" s="2" t="s">
        <v>669</v>
      </c>
    </row>
    <row r="16" spans="1:7">
      <c r="A16" s="2" t="s">
        <v>305</v>
      </c>
      <c r="B16" s="2">
        <v>6</v>
      </c>
      <c r="C16" s="2">
        <v>73.5</v>
      </c>
      <c r="D16" s="2">
        <v>77</v>
      </c>
      <c r="E16" s="2">
        <v>79</v>
      </c>
      <c r="F16" s="2">
        <v>81</v>
      </c>
      <c r="G16" s="2" t="s">
        <v>670</v>
      </c>
    </row>
    <row r="17" spans="1:7">
      <c r="A17" s="2" t="s">
        <v>295</v>
      </c>
      <c r="B17" s="2">
        <v>6</v>
      </c>
      <c r="C17" s="2">
        <v>73.5</v>
      </c>
      <c r="D17" s="2">
        <v>77</v>
      </c>
      <c r="E17" s="2">
        <v>79</v>
      </c>
      <c r="F17" s="2">
        <v>81</v>
      </c>
      <c r="G17" s="2" t="s">
        <v>671</v>
      </c>
    </row>
    <row r="18" spans="1:7">
      <c r="A18" s="2" t="s">
        <v>534</v>
      </c>
      <c r="B18" s="2">
        <v>6</v>
      </c>
      <c r="C18" s="2">
        <v>74</v>
      </c>
      <c r="D18" s="2">
        <v>78</v>
      </c>
      <c r="E18" s="2">
        <v>80</v>
      </c>
      <c r="F18" s="2">
        <v>82</v>
      </c>
      <c r="G18" s="2" t="s">
        <v>672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Data</vt:lpstr>
      <vt:lpstr>Player Card</vt:lpstr>
      <vt:lpstr>Model Summary</vt:lpstr>
      <vt:lpstr>Sources + Method</vt:lpstr>
      <vt:lpstr>Final Picks Tracker</vt:lpstr>
      <vt:lpstr>Score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Flora</dc:creator>
  <cp:lastModifiedBy>Ethan Flora</cp:lastModifiedBy>
  <dcterms:created xsi:type="dcterms:W3CDTF">2026-06-17T17:10:45Z</dcterms:created>
  <dcterms:modified xsi:type="dcterms:W3CDTF">2026-06-19T01:20:44Z</dcterms:modified>
</cp:coreProperties>
</file>