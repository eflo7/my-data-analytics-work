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48d3ac1ac4b44e9/Desktop/Personal Work/Data-Analyst-Portfolio/golf_majors_project_analysis_26/"/>
    </mc:Choice>
  </mc:AlternateContent>
  <xr:revisionPtr revIDLastSave="0" documentId="8_{E5D54C4B-AF1E-4B4B-B683-94DB72FD08B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aster Data" sheetId="1" r:id="rId1"/>
    <sheet name="Player Card" sheetId="2" r:id="rId2"/>
    <sheet name="Model Summary" sheetId="3" r:id="rId3"/>
    <sheet name="Sources + Metho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2" l="1"/>
  <c r="D5" i="2"/>
  <c r="B37" i="2"/>
  <c r="B35" i="2"/>
  <c r="B31" i="2"/>
  <c r="B27" i="2"/>
  <c r="B23" i="2"/>
  <c r="B19" i="2"/>
  <c r="B16" i="2"/>
  <c r="B13" i="2"/>
  <c r="F11" i="2"/>
  <c r="F9" i="2"/>
  <c r="F7" i="2"/>
  <c r="D7" i="2"/>
  <c r="D9" i="2"/>
  <c r="D11" i="2"/>
  <c r="B11" i="2"/>
  <c r="B9" i="2"/>
  <c r="B7" i="2"/>
  <c r="B5" i="2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<sst xmlns="http://schemas.openxmlformats.org/spreadsheetml/2006/main" count="898" uniqueCount="530">
  <si>
    <t>Player</t>
  </si>
  <si>
    <t>Tour</t>
  </si>
  <si>
    <t>Custom Tier</t>
  </si>
  <si>
    <t>Odds / Market Note</t>
  </si>
  <si>
    <t>Current Form</t>
  </si>
  <si>
    <t>US Open Fit</t>
  </si>
  <si>
    <t>Shinnecock / Comp</t>
  </si>
  <si>
    <t>Cut Safety</t>
  </si>
  <si>
    <t>Upside</t>
  </si>
  <si>
    <t>Volatility Risk</t>
  </si>
  <si>
    <t>Overall Rating</t>
  </si>
  <si>
    <t>Win Grade</t>
  </si>
  <si>
    <t>Pool Action</t>
  </si>
  <si>
    <t>Projected Score Range</t>
  </si>
  <si>
    <t>Masters 2026</t>
  </si>
  <si>
    <t>PGA 2026</t>
  </si>
  <si>
    <t>Recent MC / Concern</t>
  </si>
  <si>
    <t>Shinnecock / US Open History</t>
  </si>
  <si>
    <t>Key Stats / Fit Signals</t>
  </si>
  <si>
    <t>Why He Can Win</t>
  </si>
  <si>
    <t>Red Flags</t>
  </si>
  <si>
    <t>Outside / LIV / Creator Notes</t>
  </si>
  <si>
    <t>Source URL 1</t>
  </si>
  <si>
    <t>Source URL 2</t>
  </si>
  <si>
    <t>Scottie Scheffler</t>
  </si>
  <si>
    <t>PGA</t>
  </si>
  <si>
    <t>Elite Favorite</t>
  </si>
  <si>
    <t>+500 market favorite</t>
  </si>
  <si>
    <t>A+</t>
  </si>
  <si>
    <t>Core pick / safest anchor</t>
  </si>
  <si>
    <t>-4 to +2</t>
  </si>
  <si>
    <t>2nd (-11), bogey-free weekend noted</t>
  </si>
  <si>
    <t>Made cut; contended but putting cooled</t>
  </si>
  <si>
    <t>No major MC concern; main risk is cold putter</t>
  </si>
  <si>
    <t>No 2018 Shinnecock start; elite U.S. Open profile overall</t>
  </si>
  <si>
    <t>PGA Tour SG tee-to-green leader; GIR leader; OWGR No. 1</t>
  </si>
  <si>
    <t>Best total skill profile in the field. If Shinnecock becomes a ball-striking exam, he is the cleanest all-around answer.</t>
  </si>
  <si>
    <t>Putting can turn a winning week into a top-10 only; odds may be too short for pool leverage.</t>
  </si>
  <si>
    <t>Stable PGA schedule, elite week-to-week floor.</t>
  </si>
  <si>
    <t>https://www.pgatour.com/stats/detail/02674</t>
  </si>
  <si>
    <t>https://www.pgatour.com/stats</t>
  </si>
  <si>
    <t>Rory McIlroy</t>
  </si>
  <si>
    <t>+850 to +950</t>
  </si>
  <si>
    <t>A</t>
  </si>
  <si>
    <t>Core pick if tier value is fair</t>
  </si>
  <si>
    <t>-4 to +3</t>
  </si>
  <si>
    <t>Won / defended Masters (-12)</t>
  </si>
  <si>
    <t>T7 (-4)</t>
  </si>
  <si>
    <t>No missed cut in first two majors; some hard-course volatility from 2025 U.S. Open</t>
  </si>
  <si>
    <t>Missed cut at 2018 Shinnecock, but has proven U.S. Open ceiling</t>
  </si>
  <si>
    <t>Major-winning form, power, improved patience, elite scoring ceiling</t>
  </si>
  <si>
    <t>He has already won the biggest 2026 pressure test and backed it up with a PGA top 10.</t>
  </si>
  <si>
    <t>Can get emotionally sideways on brutal U.S. Open setups; Shinnecock 2018 history is not great.</t>
  </si>
  <si>
    <t>No LIV concern; high public ownership risk.</t>
  </si>
  <si>
    <t>https://www.theguardian.com/sport/live/2026/apr/12/golf-the-masters-2026-final-round-live</t>
  </si>
  <si>
    <t>https://www.pgachampionship.com/news-media/articles/aaron-rai-wins-the-2026-pga-championship-at-aronimink</t>
  </si>
  <si>
    <t>Jon Rahm</t>
  </si>
  <si>
    <t>LIV</t>
  </si>
  <si>
    <t>Elite Threat</t>
  </si>
  <si>
    <t>+1200</t>
  </si>
  <si>
    <t>A-</t>
  </si>
  <si>
    <t>High-upside anchor</t>
  </si>
  <si>
    <t>-3 to +4</t>
  </si>
  <si>
    <t>Made cut, poor start then stabilized</t>
  </si>
  <si>
    <t>T2 (-6)</t>
  </si>
  <si>
    <t>Masters was not a win threat; LIV schedule creates fewer PGA data points</t>
  </si>
  <si>
    <t>2018 Shinnecock: MC, but later became U.S. Open champion in 2021</t>
  </si>
  <si>
    <t>World SG rating No. 2; PGA runner-up confirms major form</t>
  </si>
  <si>
    <t>Rahm’s PGA runner-up is a strong sign that the major game is still fully alive.</t>
  </si>
  <si>
    <t>LIV week-to-week data is harder to compare; can lose accuracy under frustration.</t>
  </si>
  <si>
    <t>Best LIV option if priced below Scheffler/Rory.</t>
  </si>
  <si>
    <t>https://www.owgr.com/strokes-gained-world-rating</t>
  </si>
  <si>
    <t>Cameron Young</t>
  </si>
  <si>
    <t>Elite Upside</t>
  </si>
  <si>
    <t>+1800</t>
  </si>
  <si>
    <t>Best aggressive pool play</t>
  </si>
  <si>
    <t>-5 to +4</t>
  </si>
  <si>
    <t>T3 (-10)</t>
  </si>
  <si>
    <t>Made cut, not top 10</t>
  </si>
  <si>
    <t>No recent major MC; pressure of home-state U.S. Open is the question</t>
  </si>
  <si>
    <t>No 2018 Shinnecock start; New York/home-state angle; strong 2025 U.S. Open noted in news</t>
  </si>
  <si>
    <t>Two 2026 wins including THE PLAYERS; OWGR No. 3; top SG tee-to-green</t>
  </si>
  <si>
    <t>He may be the best blend of recent form, ball-striking, and non-Scheffler odds value.</t>
  </si>
  <si>
    <t>Still chasing first major; home crowd can become extra weight.</t>
  </si>
  <si>
    <t>Could be highly owned, but still strong pool value.</t>
  </si>
  <si>
    <t>https://www.golfchannel.com/pga-tour/news/ranking-the-entire-pga-championship-field-nos-1-156</t>
  </si>
  <si>
    <t>https://nypost.com/2026/05/13/betting/cameron-youngs-rise-reflected-in-stunning-pga-championship-odds-swing/</t>
  </si>
  <si>
    <t>Xander Schauffele</t>
  </si>
  <si>
    <t>Elite Consistency</t>
  </si>
  <si>
    <t>Core pick / cut safety monster</t>
  </si>
  <si>
    <t>Top-five/top-10 range</t>
  </si>
  <si>
    <t>No current MC concern</t>
  </si>
  <si>
    <t>2018 Shinnecock T6; nine straight U.S. Open top-15s cited by Golf Digest</t>
  </si>
  <si>
    <t>Reliable major profile; strong tough-course history</t>
  </si>
  <si>
    <t>Few players have a better U.S. Open made-cut and top-15 profile.</t>
  </si>
  <si>
    <t>May not separate enough to win if putter is average.</t>
  </si>
  <si>
    <t>Excellent pool pick when avoiding disaster matters.</t>
  </si>
  <si>
    <t>https://www.golfdigest.com/story/us-open-picks-2026-our-13-best-bets-to-win-at-shinnecock-hills</t>
  </si>
  <si>
    <t>Matt Fitzpatrick</t>
  </si>
  <si>
    <t>Elite Value</t>
  </si>
  <si>
    <t>+2000</t>
  </si>
  <si>
    <t>Best precision-value pick</t>
  </si>
  <si>
    <t>-4 to +4</t>
  </si>
  <si>
    <t>Made cut</t>
  </si>
  <si>
    <t>Made cut, outside top 10</t>
  </si>
  <si>
    <t>No major MC issue; confidence check after losing to Alex Fitzpatrick noted</t>
  </si>
  <si>
    <t>2018 Shinnecock T12; 2022 U.S. Open winner</t>
  </si>
  <si>
    <t>PGA Tour No. 2 SG tee-to-green; won three of four starts between Masters and PGA per Golf Digest</t>
  </si>
  <si>
    <t>Shinnecock rewards controlled driving, patience, and short-game creativity, all Fitzpatrick strengths.</t>
  </si>
  <si>
    <t>Ceiling can depend on whether approach play stays hot enough to beat elite power.</t>
  </si>
  <si>
    <t>Very strong if he lands outside top tier in your pool.</t>
  </si>
  <si>
    <t>Collin Morikawa</t>
  </si>
  <si>
    <t>High-End Contender</t>
  </si>
  <si>
    <t>+2200</t>
  </si>
  <si>
    <t>Great fit if price drops</t>
  </si>
  <si>
    <t>-3 to +5</t>
  </si>
  <si>
    <t>No major MC signal, but not winning lately</t>
  </si>
  <si>
    <t>No 2018 Shinnecock start</t>
  </si>
  <si>
    <t>PGA Tour top SG tee-to-green; elite approach profile</t>
  </si>
  <si>
    <t>Shinnecock should reward fairway-to-green discipline more than pure putting spikes.</t>
  </si>
  <si>
    <t>Has not converted as often recently; win equity lower than fit suggests.</t>
  </si>
  <si>
    <t>Trust for placement, slightly less for outright win.</t>
  </si>
  <si>
    <t>https://www.datagolf.com/</t>
  </si>
  <si>
    <t>Ludvig Åberg</t>
  </si>
  <si>
    <t>Upside pick</t>
  </si>
  <si>
    <t>-4 to +5</t>
  </si>
  <si>
    <t>T4 (-5)</t>
  </si>
  <si>
    <t>Occasional Sunday volatility; Players collapse noted</t>
  </si>
  <si>
    <t>Strong tee-to-green and par-5 scoring noted in Memorial preview</t>
  </si>
  <si>
    <t>Elite talent profile with enough length and ball striking to handle a long par-70.</t>
  </si>
  <si>
    <t>Still proving U.S. Open patience and closing under major pressure.</t>
  </si>
  <si>
    <t>Great secondary pool entry if you need upside.</t>
  </si>
  <si>
    <t>https://www.golfmonthly.com/betting/memorial-tournament-2026-betting-tips</t>
  </si>
  <si>
    <t>https://www.golfchannel.com/pga-of-america/news/pga-championship-2026-leaderboard-final-results-scores-from-aronimink</t>
  </si>
  <si>
    <t>Tommy Fleetwood</t>
  </si>
  <si>
    <t>+2000 to +2500</t>
  </si>
  <si>
    <t>B+</t>
  </si>
  <si>
    <t>Strong bounce-back candidate</t>
  </si>
  <si>
    <t>-2 to +6</t>
  </si>
  <si>
    <t>Made cut / contended early</t>
  </si>
  <si>
    <t>MC (+5)</t>
  </si>
  <si>
    <t>PGA missed cut is a real warning, but Shinnecock history is elite</t>
  </si>
  <si>
    <t>2018 Shinnecock 2nd; final-round 63</t>
  </si>
  <si>
    <t>Course history might be the best in field; tough-course runner-up profile</t>
  </si>
  <si>
    <t>The 2018 result proves he can thrive in this exact wind-and-patience setup.</t>
  </si>
  <si>
    <t>PGA MC shows current form is not spotless; win conversion remains concern.</t>
  </si>
  <si>
    <t>If people overreact to PGA MC, he becomes useful.</t>
  </si>
  <si>
    <t>https://www.cbssports.com/golf/news/pga-championship-2026-cut-line-bryson-dechambeau-tommy-fleetwood/</t>
  </si>
  <si>
    <t>https://www.golfcompendium.com/2018/11/2018-us-open.html</t>
  </si>
  <si>
    <t>Bryson DeChambeau</t>
  </si>
  <si>
    <t>Boom/Bust Star</t>
  </si>
  <si>
    <t>+1000 to +1400</t>
  </si>
  <si>
    <t>Only use if tier rewards upside</t>
  </si>
  <si>
    <t>-5 to +8</t>
  </si>
  <si>
    <t>MC (+6)</t>
  </si>
  <si>
    <t>MC (+7)</t>
  </si>
  <si>
    <t>Missed both Masters and PGA cuts; 4 MCs in 10 majors since 2024 noted</t>
  </si>
  <si>
    <t>2018 Shinnecock T25 range; 2020 and 2024 U.S. Open winner</t>
  </si>
  <si>
    <t>Major ceiling is enormous; driving can break par-70s if controlled</t>
  </si>
  <si>
    <t>He can win because his U.S. Open peak is proven and he can overpower long par 4s.</t>
  </si>
  <si>
    <t>Double missed-cut trend is impossible to ignore; feast-or-famine profile.</t>
  </si>
  <si>
    <t>LIV star with extra motivation, but very risky for pool safety.</t>
  </si>
  <si>
    <t>https://www.golfchannel.com/pga-of-america/news/bryson-dechambeau-misses-cut-2026-pga-championship</t>
  </si>
  <si>
    <t>https://www.golf.com/news/9-surprising-players-who-missed-2026-masters-cut/</t>
  </si>
  <si>
    <t>Brooks Koepka</t>
  </si>
  <si>
    <t>Major Specialist</t>
  </si>
  <si>
    <t>+2700 to +2800</t>
  </si>
  <si>
    <t>Dangerous major-only pick</t>
  </si>
  <si>
    <t>-3 to +6</t>
  </si>
  <si>
    <t>Made cut / not top 10</t>
  </si>
  <si>
    <t>No first-two-major MC issue, but form less sharp than peak</t>
  </si>
  <si>
    <t>2018 Shinnecock champion; 2024 PGA major relevance still remembered</t>
  </si>
  <si>
    <t>2018 winner at exact venue; U.S. Open toughness profile</t>
  </si>
  <si>
    <t>If Shinnecock becomes ugly, Koepka’s major patience and venue memory matter.</t>
  </si>
  <si>
    <t>Recent ceiling is less obvious than Rahm/Cam Young; LIV data is patchier.</t>
  </si>
  <si>
    <t>A classic friend-pool spoiler pick.</t>
  </si>
  <si>
    <t>https://www.golfchannel.com/usopen/news/bryson-dechambeau-2026-us-open-odds</t>
  </si>
  <si>
    <t>Tyrrell Hatton</t>
  </si>
  <si>
    <t>High-End Toughness</t>
  </si>
  <si>
    <t>+3500</t>
  </si>
  <si>
    <t>Good gritty US Open fit</t>
  </si>
  <si>
    <t>PGA MC dents the profile, Masters was excellent</t>
  </si>
  <si>
    <t>2018 Shinnecock T6</t>
  </si>
  <si>
    <t>Tough-course temperament when controlled; strong Masters LIV result</t>
  </si>
  <si>
    <t>He showed at Augusta that his game travels to major pressure, and Shinnecock rewards grit.</t>
  </si>
  <si>
    <t>Emotional volatility and PGA MC make him less safe than Xander/Fitz.</t>
  </si>
  <si>
    <t>Good if his tier lacks obvious ball-striking anchors.</t>
  </si>
  <si>
    <t>https://sportsnaut.com/golf/masters-2026-10-winners-losers</t>
  </si>
  <si>
    <t>Russell Henley</t>
  </si>
  <si>
    <t>Precision Sleeper</t>
  </si>
  <si>
    <t>+3500 to +4500</t>
  </si>
  <si>
    <t>Safe precision pick</t>
  </si>
  <si>
    <t>-1 to +6</t>
  </si>
  <si>
    <t>PGA MC, but Masters was excellent</t>
  </si>
  <si>
    <t>No 2018 Shinnecock high finish noted</t>
  </si>
  <si>
    <t>PGA Tour driving accuracy leader; rough avoidance leader</t>
  </si>
  <si>
    <t>He is exactly the kind of fairway-first player who can survive Shinnecock when others compound mistakes.</t>
  </si>
  <si>
    <t>Winning ceiling is lower than the elite names; MC at PGA keeps risk alive.</t>
  </si>
  <si>
    <t>Could be a great tier value if placed below stars.</t>
  </si>
  <si>
    <t>https://www.pgatour.com/stats/off-tee</t>
  </si>
  <si>
    <t>Justin Rose</t>
  </si>
  <si>
    <t>Veteran Contender</t>
  </si>
  <si>
    <t>Veteran floor/value</t>
  </si>
  <si>
    <t>-1 to +7</t>
  </si>
  <si>
    <t>T10 (-3)</t>
  </si>
  <si>
    <t>No issue in first two majors; age/closing ceiling question</t>
  </si>
  <si>
    <t>2018 Shinnecock T10</t>
  </si>
  <si>
    <t>Veteran patience, strong 2026 major starts</t>
  </si>
  <si>
    <t>Rose has already shown 2026 major form twice and owns a top-10 at Shinnecock.</t>
  </si>
  <si>
    <t>Hard to project as the winner over four rounds unless putter spikes.</t>
  </si>
  <si>
    <t>Strong friend-pool pick if tiers underrate veterans.</t>
  </si>
  <si>
    <t>Justin Thomas</t>
  </si>
  <si>
    <t>Volatile Upside</t>
  </si>
  <si>
    <t>+3500 to +4000</t>
  </si>
  <si>
    <t>B</t>
  </si>
  <si>
    <t>Upside but not safest</t>
  </si>
  <si>
    <t>-3 to +8</t>
  </si>
  <si>
    <t>2025 U.S. Open MC noted; high volatility on firm venues</t>
  </si>
  <si>
    <t>2018 Shinnecock MC</t>
  </si>
  <si>
    <t>Major scoring ceiling remains high after PGA T4</t>
  </si>
  <si>
    <t>If irons and putting spike together, he can go low enough to win despite tough conditions.</t>
  </si>
  <si>
    <t>U.S. Open setups have produced volatility; 2018 venue record is bad.</t>
  </si>
  <si>
    <t>Better for aggressive second roster than safe roster.</t>
  </si>
  <si>
    <t>https://www.thetimes.com/sport/golf/article/us-open-second-round-rory-mcilroy-result-leaderboard-nfs99hkp2</t>
  </si>
  <si>
    <t>Aaron Rai</t>
  </si>
  <si>
    <t>Fresh Major Champ</t>
  </si>
  <si>
    <t>+7000</t>
  </si>
  <si>
    <t>Interesting value, not automatic</t>
  </si>
  <si>
    <t>0 to +7</t>
  </si>
  <si>
    <t>Won PGA (-9)</t>
  </si>
  <si>
    <t>New major champion bounce or hangover risk</t>
  </si>
  <si>
    <t>Accuracy/control profile; PGA win at tough Aronimink</t>
  </si>
  <si>
    <t>Rai just proved he can win a brutal major-style test with control and composure.</t>
  </si>
  <si>
    <t>Market may still underrate him, but back-to-back major wins are rare and pressure changes.</t>
  </si>
  <si>
    <t>Great if your pool ignores him due to name value.</t>
  </si>
  <si>
    <t>https://www.reuters.com/sports/golf/aaron-rai-keen-learn-mistakes-heading-into-memorial-tournament--flm-2026-06-02/</t>
  </si>
  <si>
    <t>Joaquin Niemann</t>
  </si>
  <si>
    <t>LIV Sleeper</t>
  </si>
  <si>
    <t>+4500 to +6000</t>
  </si>
  <si>
    <t>Upside sleeper</t>
  </si>
  <si>
    <t>-2 to +8</t>
  </si>
  <si>
    <t>Not in Masters / qualified via LIV pathway</t>
  </si>
  <si>
    <t>T18 (-1)</t>
  </si>
  <si>
    <t>Less major reps this year, but PGA T18 was solid</t>
  </si>
  <si>
    <t>PGA T18 with David Puig; LIV form harder to benchmark</t>
  </si>
  <si>
    <t>He has enough ball-striking and confidence to be a dark horse if the elite names stumble.</t>
  </si>
  <si>
    <t>Not as much major evidence as Rahm/Koepka; MC risk higher than PGA stars.</t>
  </si>
  <si>
    <t>Useful if you want LIV leverage without Bryson volatility.</t>
  </si>
  <si>
    <t>https://www.golfmonthly.com/news/how-did-all-11-liv-golfers-fare-at-the-2026-pga-championship</t>
  </si>
  <si>
    <t>https://www.golfmonthly.com/news/us-open-field-2026-whos-confirmed-for-shinnecock-hills</t>
  </si>
  <si>
    <t>Cameron Smith</t>
  </si>
  <si>
    <t>Short-Game Wildcard</t>
  </si>
  <si>
    <t>+5000 to +7000</t>
  </si>
  <si>
    <t>B-</t>
  </si>
  <si>
    <t>High-risk short-game play</t>
  </si>
  <si>
    <t>-1 to +9</t>
  </si>
  <si>
    <t>MC at Masters</t>
  </si>
  <si>
    <t>Masters MC was concerning; PGA rebound was excellent</t>
  </si>
  <si>
    <t>Elite short game; coaching change noted before PGA T7</t>
  </si>
  <si>
    <t>If Shinnecock gets firm and scrambling-heavy, Smith can save strokes others lose.</t>
  </si>
  <si>
    <t>Driving/accuracy and recent MC history make him risky.</t>
  </si>
  <si>
    <t>More useful in a contrarian roster.</t>
  </si>
  <si>
    <t>https://www.golfmonthly.com/news/liv-golf-leaderboard-the-masters-2026</t>
  </si>
  <si>
    <t>Wyndham Clark</t>
  </si>
  <si>
    <t>US Open Past Champ</t>
  </si>
  <si>
    <t>+5500</t>
  </si>
  <si>
    <t>Boom/bust value</t>
  </si>
  <si>
    <t>-2 to +9</t>
  </si>
  <si>
    <t>PGA MC; 2023 U.S. Open win keeps ceiling alive</t>
  </si>
  <si>
    <t>Recent CJ Cup Byron Nelson win cited by CBS</t>
  </si>
  <si>
    <t>He has proven he can win a U.S. Open and has recent win equity.</t>
  </si>
  <si>
    <t>Accuracy and missed-cut risk are real on Shinnecock.</t>
  </si>
  <si>
    <t>Only if tier makes him a value over safer names.</t>
  </si>
  <si>
    <t>https://www.cbssports.com/golf/news/2026-u-s-open-odds-picks-date-pga-predictions-golf-field/</t>
  </si>
  <si>
    <t>Viktor Hovland</t>
  </si>
  <si>
    <t>Volatile Talent</t>
  </si>
  <si>
    <t>Risky upside</t>
  </si>
  <si>
    <t>-3 to +9</t>
  </si>
  <si>
    <t>PGA MC and Memorial WD/withdrawal context lowers confidence</t>
  </si>
  <si>
    <t>Ceiling is elite when ball-striking returns</t>
  </si>
  <si>
    <t>If he finds the old tee-to-green gear, Shinnecock is not too big for him.</t>
  </si>
  <si>
    <t>Current form and short-game trust are not clean enough.</t>
  </si>
  <si>
    <t>Prefer only in second pool.</t>
  </si>
  <si>
    <t>Akshay Bhatia</t>
  </si>
  <si>
    <t>Young Upside</t>
  </si>
  <si>
    <t>+5500 to +7000</t>
  </si>
  <si>
    <t>C+</t>
  </si>
  <si>
    <t>Aggressive only</t>
  </si>
  <si>
    <t>-2 to +10</t>
  </si>
  <si>
    <t>MC (+6 / +150 area)</t>
  </si>
  <si>
    <t>Missed both Masters and PGA cuts</t>
  </si>
  <si>
    <t>Talent and price are interesting, but MC trend is loud</t>
  </si>
  <si>
    <t>He can contend if approach play spikes and the lefty ball flight handles wind.</t>
  </si>
  <si>
    <t>Double MC makes him a dangerous pool pick unless he is in a weak tier.</t>
  </si>
  <si>
    <t>Watchlist more than pick for now.</t>
  </si>
  <si>
    <t>Sungjae Im</t>
  </si>
  <si>
    <t>Steady Profile</t>
  </si>
  <si>
    <t>Tier-dependent safe-ish</t>
  </si>
  <si>
    <t>0 to +9</t>
  </si>
  <si>
    <t>PGA MC after mixed form</t>
  </si>
  <si>
    <t>Usually durable and precise enough for hard-course pars</t>
  </si>
  <si>
    <t>His game can grind, which matters if winning score is around even par.</t>
  </si>
  <si>
    <t>Ceiling is not obvious and PGA MC lowers trust.</t>
  </si>
  <si>
    <t>Use only if your tier is thin.</t>
  </si>
  <si>
    <t>https://www.cbssports.com/golf/stats/pga-tour/drive-accuracy/</t>
  </si>
  <si>
    <t>Corey Conners</t>
  </si>
  <si>
    <t>Ball-Striking Sleeper</t>
  </si>
  <si>
    <t>+8000</t>
  </si>
  <si>
    <t>Good cut-safety value</t>
  </si>
  <si>
    <t>0 to +8</t>
  </si>
  <si>
    <t>No big MC issue but not a top-10 major trend lately</t>
  </si>
  <si>
    <t>Fairways and irons profile well for U.S. Open</t>
  </si>
  <si>
    <t>Conners can hang around by hitting greens and avoiding disasters.</t>
  </si>
  <si>
    <t>Putting/win equity is the obvious limitation.</t>
  </si>
  <si>
    <t>Good if the goal is made-cut points.</t>
  </si>
  <si>
    <t>Hideki Matsuyama</t>
  </si>
  <si>
    <t>Major Veteran</t>
  </si>
  <si>
    <t>+6000 to +8000</t>
  </si>
  <si>
    <t>Respectable veteran pick</t>
  </si>
  <si>
    <t>-1 to +8</t>
  </si>
  <si>
    <t>Health and consistency risk</t>
  </si>
  <si>
    <t>2018 Shinnecock T16; final-round 66</t>
  </si>
  <si>
    <t>Elite iron/short-game peak; tough-course experience</t>
  </si>
  <si>
    <t>His 2018 final-round 66 shows he can score at Shinnecock when conditions allow.</t>
  </si>
  <si>
    <t>Health and putting make him hard to trust as a winner.</t>
  </si>
  <si>
    <t>Good as a secondary value, not anchor.</t>
  </si>
  <si>
    <t>Patrick Cantlay</t>
  </si>
  <si>
    <t>Safe But Cold</t>
  </si>
  <si>
    <t>Floor pick, low buzz</t>
  </si>
  <si>
    <t>No glaring MC issue; limited recent win spark</t>
  </si>
  <si>
    <t>2018 Shinnecock T45 range</t>
  </si>
  <si>
    <t>Controlled game, patient temperament</t>
  </si>
  <si>
    <t>Cantlay’s style fits a U.S. Open where pars gain value.</t>
  </si>
  <si>
    <t>Current ceiling is not exciting compared with Young/Fitz/Xander.</t>
  </si>
  <si>
    <t>Useful only if overlooked.</t>
  </si>
  <si>
    <t>Shane Lowry</t>
  </si>
  <si>
    <t>Wind Specialist</t>
  </si>
  <si>
    <t>Weather-dependent value</t>
  </si>
  <si>
    <t>Hard-course frustration can appear, but wind skill is real</t>
  </si>
  <si>
    <t>2018 Shinnecock made cut; no top-10</t>
  </si>
  <si>
    <t>Wind, flighted irons, scrambling</t>
  </si>
  <si>
    <t>If Long Island wind becomes the story, Lowry’s skill set rises.</t>
  </si>
  <si>
    <t>Not as much win equity in elite field; can lose strokes putting.</t>
  </si>
  <si>
    <t>Best if forecast is windy.</t>
  </si>
  <si>
    <t>Sam Burns</t>
  </si>
  <si>
    <t>Putting/Scoring Sleeper</t>
  </si>
  <si>
    <t>+6500</t>
  </si>
  <si>
    <t>Volatile sleeper</t>
  </si>
  <si>
    <t>Top contender early / strong Masters</t>
  </si>
  <si>
    <t>No first-two-major MC issue; volatility depends on approach</t>
  </si>
  <si>
    <t>Strong scoring when putter heats up; 2025 U.S. Open contention at Oakmont noted</t>
  </si>
  <si>
    <t>Burns can get hot enough to post a low number when everyone else stalls.</t>
  </si>
  <si>
    <t>Shinnecock may expose approach/accuracy if not sharp.</t>
  </si>
  <si>
    <t>Second-pool upside option.</t>
  </si>
  <si>
    <t>https://www.golfchannel.com/pga-tour/live/2026-masters-live-updates-leaderboard-scores-results-highlights-and-news-from-round-2</t>
  </si>
  <si>
    <t>https://www.golfmonthly.com/news/live/us-open-golf-2025-leaderboard-scores</t>
  </si>
  <si>
    <t>Jordan Spieth</t>
  </si>
  <si>
    <t>Chaos Veteran</t>
  </si>
  <si>
    <t>TBD / qualified via OWGR path</t>
  </si>
  <si>
    <t>Only if gut/low ownership</t>
  </si>
  <si>
    <t>Qualification path and form less stable than stars</t>
  </si>
  <si>
    <t>Creative short game and U.S. Open win history</t>
  </si>
  <si>
    <t>If Shinnecock turns into scrambling chaos, Spieth can manufacture a week.</t>
  </si>
  <si>
    <t>Driver volatility is scary here.</t>
  </si>
  <si>
    <t>Fun, not safe.</t>
  </si>
  <si>
    <t>https://www.golfmonthly.com/news/jordan-spieth-us-open-qualifying</t>
  </si>
  <si>
    <t>J.J. Spaun</t>
  </si>
  <si>
    <t>Defending US Open Champ</t>
  </si>
  <si>
    <t>+7000 to +9000</t>
  </si>
  <si>
    <t>Narrative/value only</t>
  </si>
  <si>
    <t>PGA MC after 2025 U.S. Open win</t>
  </si>
  <si>
    <t>Defending U.S. Open champion; tough-course resilience</t>
  </si>
  <si>
    <t>He proved at Oakmont that he can survive a brutal U.S. Open better than stars.</t>
  </si>
  <si>
    <t>Back-to-back U.S. Open wins are unlikely; PGA MC is a warning.</t>
  </si>
  <si>
    <t>Good story, not a top pick.</t>
  </si>
  <si>
    <t>Robert MacIntyre</t>
  </si>
  <si>
    <t>Lefty Grinder</t>
  </si>
  <si>
    <t>Watchlist/bounce-back</t>
  </si>
  <si>
    <t>2025 U.S. Open runner-up at Oakmont noted</t>
  </si>
  <si>
    <t>A recent U.S. Open runner-up shows he can handle a grind.</t>
  </si>
  <si>
    <t>Double MC trend is a major concern.</t>
  </si>
  <si>
    <t>Only if you want to bet on bounce-back.</t>
  </si>
  <si>
    <t>Si Woo Kim</t>
  </si>
  <si>
    <t>Accuracy Sleeper</t>
  </si>
  <si>
    <t>Sneaky if low tier</t>
  </si>
  <si>
    <t>No headline MC issue</t>
  </si>
  <si>
    <t>Data Golf projection showed top-5 probability cluster; driving accuracy top tier</t>
  </si>
  <si>
    <t>He can hit enough fairways and greens to quietly finish high.</t>
  </si>
  <si>
    <t>Winning probability is still modest.</t>
  </si>
  <si>
    <t>Great under-the-radar pool candidate.</t>
  </si>
  <si>
    <t>Patrick Reed</t>
  </si>
  <si>
    <t>Short-Game Scrapper</t>
  </si>
  <si>
    <t>+9000</t>
  </si>
  <si>
    <t>Contrarian grinder</t>
  </si>
  <si>
    <t>Made cut / around top 10</t>
  </si>
  <si>
    <t>No MC issue, but week-to-week LIV data limited</t>
  </si>
  <si>
    <t>2018 Shinnecock 4th</t>
  </si>
  <si>
    <t>Elite 2018 Shinnecock result; PGA top 10</t>
  </si>
  <si>
    <t>Reed’s short game and past Shinnecock result make him dangerous if scoring gets ugly.</t>
  </si>
  <si>
    <t>Ball-striking consistency and LIV comparability lower confidence.</t>
  </si>
  <si>
    <t>Useful if ignored in pool.</t>
  </si>
  <si>
    <t>Tony Finau</t>
  </si>
  <si>
    <t>Long-Iron Value</t>
  </si>
  <si>
    <t>Deep value only</t>
  </si>
  <si>
    <t>Not a current top-form name</t>
  </si>
  <si>
    <t>2018 Shinnecock 5th</t>
  </si>
  <si>
    <t>Length plus 2018 venue success</t>
  </si>
  <si>
    <t>Past venue result shows he can find the right angles here.</t>
  </si>
  <si>
    <t>Recent win equity feels lower than the elite tier.</t>
  </si>
  <si>
    <t>Deep pool option only.</t>
  </si>
  <si>
    <t>Max Homa</t>
  </si>
  <si>
    <t>Form Concern</t>
  </si>
  <si>
    <t>+10000</t>
  </si>
  <si>
    <t>C</t>
  </si>
  <si>
    <t>Avoid unless tier is weak</t>
  </si>
  <si>
    <t>+2 to +12</t>
  </si>
  <si>
    <t>MC (+12)</t>
  </si>
  <si>
    <t>Very poor PGA MC</t>
  </si>
  <si>
    <t>Upside exists but current form is major concern</t>
  </si>
  <si>
    <t>He has the talent to surprise if the swing clicks quickly.</t>
  </si>
  <si>
    <t>Recent major signal is too weak for a serious pool pick.</t>
  </si>
  <si>
    <t>Avoid for now.</t>
  </si>
  <si>
    <t>Alex Smalley</t>
  </si>
  <si>
    <t>Recent Breakout</t>
  </si>
  <si>
    <t>Deep sleeper</t>
  </si>
  <si>
    <t>Not a major factor</t>
  </si>
  <si>
    <t>No negative PGA signal; major-pressure sample small</t>
  </si>
  <si>
    <t>PGA runner-up and driving accuracy top tier</t>
  </si>
  <si>
    <t>He just handled major pressure at Aronimink better than many stars.</t>
  </si>
  <si>
    <t>Small major résumé; could regress after career week.</t>
  </si>
  <si>
    <t>Fun if your friends underrate him.</t>
  </si>
  <si>
    <t>Chris Gotterup</t>
  </si>
  <si>
    <t>Power Sleeper</t>
  </si>
  <si>
    <t>Deep upside</t>
  </si>
  <si>
    <t>Missed cuts at some events; consistency risk</t>
  </si>
  <si>
    <t>Power profile, PGA top 10</t>
  </si>
  <si>
    <t>If power plays and he keeps the ball in front of him, he can outrun price.</t>
  </si>
  <si>
    <t>Accuracy/consistency are a problem at U.S. Open setups.</t>
  </si>
  <si>
    <t>Only for second pool or sleeper section.</t>
  </si>
  <si>
    <t>David Puig</t>
  </si>
  <si>
    <t>Young LIV Sleeper</t>
  </si>
  <si>
    <t>Not in Masters</t>
  </si>
  <si>
    <t>Limited major sample but PGA was positive</t>
  </si>
  <si>
    <t>PGA T18 alongside Niemann</t>
  </si>
  <si>
    <t>Young talent with enough form to be on a watchlist.</t>
  </si>
  <si>
    <t>Too little evidence to trust as a primary pick.</t>
  </si>
  <si>
    <t>Deep cut only.</t>
  </si>
  <si>
    <t>Min Woo Lee</t>
  </si>
  <si>
    <t>Talented But Risky</t>
  </si>
  <si>
    <t>Volatile upside</t>
  </si>
  <si>
    <t>Masters MC warning</t>
  </si>
  <si>
    <t>Power and creativity, but accuracy can swing</t>
  </si>
  <si>
    <t>He has the raw tools to create a top-10 if his driver behaves.</t>
  </si>
  <si>
    <t>U.S. Open penalty rough makes the misses expensive.</t>
  </si>
  <si>
    <t>Fun but not safe.</t>
  </si>
  <si>
    <t>2026 U.S. Open Player Card - Shinnecock Hills</t>
  </si>
  <si>
    <t>Pick a player from the dropdown. The card pulls directly from the Master Data sheet. Add tiers later when your pool releases them.</t>
  </si>
  <si>
    <t>Select Player</t>
  </si>
  <si>
    <t>Market Note</t>
  </si>
  <si>
    <t>2026 U.S. Open Contender Board</t>
  </si>
  <si>
    <t>Course</t>
  </si>
  <si>
    <t>Dates</t>
  </si>
  <si>
    <t>Par/Yards</t>
  </si>
  <si>
    <t>Core Test</t>
  </si>
  <si>
    <t>Model Weights</t>
  </si>
  <si>
    <t>Winning Style</t>
  </si>
  <si>
    <t>Pool Rule</t>
  </si>
  <si>
    <t>Update Plan</t>
  </si>
  <si>
    <t>Shinnecock Hills, Southampton NY</t>
  </si>
  <si>
    <t>June 18-21, 2026</t>
  </si>
  <si>
    <t>Par 70 / 7,440 yds</t>
  </si>
  <si>
    <t>Wind, firm turf, long par 4s, approach control, scrambling</t>
  </si>
  <si>
    <t>Form 25%, US Open fit 25%, Shinnecock/comp 15%, cut safety 15%, upside 15%, risk 5%</t>
  </si>
  <si>
    <t>Pars matter; avoid big numbers; fairway/green discipline</t>
  </si>
  <si>
    <t>No official tiers yet; use Custom Tier as placeholder</t>
  </si>
  <si>
    <t>Replace tier column when pool releases tiers</t>
  </si>
  <si>
    <t>Rank</t>
  </si>
  <si>
    <t>Rating</t>
  </si>
  <si>
    <t>Grade</t>
  </si>
  <si>
    <t>Projected Score</t>
  </si>
  <si>
    <t>Main Green Flag</t>
  </si>
  <si>
    <t>Main Red Flag</t>
  </si>
  <si>
    <t>Method / Note</t>
  </si>
  <si>
    <t>Detail</t>
  </si>
  <si>
    <t>What this workbook is</t>
  </si>
  <si>
    <t>A pre-tier U.S. Open contender model for Shinnecock Hills. Tiers can be added later when your pool releases them.</t>
  </si>
  <si>
    <t>Course fact</t>
  </si>
  <si>
    <t>USGA lists Shinnecock Hills as par 70, 7,440 yards, June 18-21, 2026.</t>
  </si>
  <si>
    <t>Course angle</t>
  </si>
  <si>
    <t>Shinnecock is wind-exposed and designed around wind/angles; the model boosts accuracy, approach, scrambling, and patience.</t>
  </si>
  <si>
    <t>2018 Shinnecock baseline</t>
  </si>
  <si>
    <t>Brooks Koepka won at +1, Fleetwood was 2nd after a final-round 63, and several current players have exact-course history.</t>
  </si>
  <si>
    <t>Missed cut logic</t>
  </si>
  <si>
    <t>A recent MC is not automatic elimination. I separated bad fit/poor form from volatility, weird major setups, and high-upside bounce-back.</t>
  </si>
  <si>
    <t>Important limitation</t>
  </si>
  <si>
    <t>Odds and field qualification will move. Refresh the Odds / Market Note and missed-cut fields after Memorial, Canadian Open, and final qualifying.</t>
  </si>
  <si>
    <t>Source</t>
  </si>
  <si>
    <t>URL</t>
  </si>
  <si>
    <t>Used For</t>
  </si>
  <si>
    <t>USGA / U.S. Open course page</t>
  </si>
  <si>
    <t>https://www.usopen.com/2026/about-shinnecock-hills-golf-club.html</t>
  </si>
  <si>
    <t>Venue, par, yardage, hole-by-hole course info, wind/routing notes</t>
  </si>
  <si>
    <t>US Open official home</t>
  </si>
  <si>
    <t>https://www.usopen.com/</t>
  </si>
  <si>
    <t>Dates and host venue</t>
  </si>
  <si>
    <t>Golf Channel odds</t>
  </si>
  <si>
    <t>Early odds after PGA Championship</t>
  </si>
  <si>
    <t>Golf Digest picks</t>
  </si>
  <si>
    <t>Market/value notes on Cameron Young, Xander, Fitzpatrick</t>
  </si>
  <si>
    <t>PGA Championship official recap</t>
  </si>
  <si>
    <t>PGA winner and top 10</t>
  </si>
  <si>
    <t>Golf Channel PGA leaderboard</t>
  </si>
  <si>
    <t>PGA final scores and round scores</t>
  </si>
  <si>
    <t>CBS PGA cut line</t>
  </si>
  <si>
    <t>PGA missed-cut list</t>
  </si>
  <si>
    <t>Golf.com Masters MC list</t>
  </si>
  <si>
    <t>https://golf.com/news/9-surprising-players-who-missed-2026-masters-cut/</t>
  </si>
  <si>
    <t>Masters missed-cut list</t>
  </si>
  <si>
    <t>Guardian Masters live recap</t>
  </si>
  <si>
    <t>Masters winner and top contenders</t>
  </si>
  <si>
    <t>PGA Tour SG tee-to-green</t>
  </si>
  <si>
    <t>Current tee-to-green leaders</t>
  </si>
  <si>
    <t>PGA Tour stats</t>
  </si>
  <si>
    <t>GIR and broad PGA Tour stat leaders</t>
  </si>
  <si>
    <t>2018 U.S. Open results</t>
  </si>
  <si>
    <t>Shinnecock 2018 exact-course history</t>
  </si>
  <si>
    <t>OWGR SG World Rating</t>
  </si>
  <si>
    <t>World strokes-gained rating signal</t>
  </si>
  <si>
    <t>Golf Monthly 2026 field</t>
  </si>
  <si>
    <t>Confirmed field/qualifying context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</si>
</sst>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name val="Carlito"/>
    </font>
    <font>
      <b/>
      <sz val="11"/>
      <color rgb="FFFFFFFF"/>
      <name val="Carlito"/>
    </font>
    <font>
      <b/>
      <sz val="18"/>
      <color rgb="FFFFFFFF"/>
      <name val="Carlito"/>
    </font>
    <font>
      <i/>
      <sz val="11"/>
      <name val="Carlito"/>
    </font>
    <font>
      <b/>
      <sz val="11"/>
      <name val="Carlito"/>
    </font>
    <font>
      <b/>
      <sz val="16"/>
      <name val="Carlito"/>
    </font>
  </fonts>
  <fills count="9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E0F2FE"/>
      </patternFill>
    </fill>
    <fill>
      <patternFill patternType="solid">
        <fgColor rgb="FFF3F4F6"/>
      </patternFill>
    </fill>
    <fill>
      <patternFill patternType="solid">
        <fgColor rgb="FFFEF3C7"/>
      </patternFill>
    </fill>
    <fill>
      <patternFill patternType="solid">
        <fgColor rgb="FFDCFCE7"/>
      </patternFill>
    </fill>
    <fill>
      <patternFill patternType="solid">
        <fgColor rgb="FFFECACA"/>
      </patternFill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4" fillId="4" borderId="0" xfId="0" applyFont="1" applyFill="1" applyAlignment="1">
      <alignment wrapText="1"/>
    </xf>
    <xf numFmtId="0" fontId="4" fillId="5" borderId="0" xfId="0" applyFont="1" applyFill="1" applyAlignment="1">
      <alignment horizontal="center" wrapText="1"/>
    </xf>
    <xf numFmtId="0" fontId="4" fillId="4" borderId="0" xfId="0" applyFont="1" applyFill="1" applyAlignment="1">
      <alignment vertical="top" wrapText="1"/>
    </xf>
    <xf numFmtId="0" fontId="5" fillId="6" borderId="0" xfId="0" applyFont="1" applyFill="1" applyAlignment="1">
      <alignment horizontal="center" wrapText="1"/>
    </xf>
    <xf numFmtId="0" fontId="5" fillId="3" borderId="0" xfId="0" applyFont="1" applyFill="1" applyAlignment="1">
      <alignment horizontal="center" wrapText="1"/>
    </xf>
    <xf numFmtId="0" fontId="0" fillId="8" borderId="0" xfId="0" applyFill="1" applyAlignment="1">
      <alignment vertical="top" wrapText="1"/>
    </xf>
    <xf numFmtId="164" fontId="0" fillId="0" borderId="0" xfId="0" applyNumberFormat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3" fillId="3" borderId="0" xfId="0" applyFont="1" applyFill="1" applyAlignment="1">
      <alignment horizontal="center" wrapText="1"/>
    </xf>
    <xf numFmtId="0" fontId="4" fillId="5" borderId="0" xfId="0" applyFont="1" applyFill="1" applyAlignment="1">
      <alignment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3" borderId="0" xfId="0" applyFill="1" applyAlignment="1">
      <alignment vertical="top" wrapText="1"/>
    </xf>
    <xf numFmtId="0" fontId="2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Overall Rating</c:v>
          </c:tx>
          <c:invertIfNegative val="1"/>
          <c:cat>
            <c:strRef>
              <c:f>'Model Summary'!$B$7:$B$18</c:f>
              <c:strCache>
                <c:ptCount val="12"/>
                <c:pt idx="0">
                  <c:v>Scottie Scheffler</c:v>
                </c:pt>
                <c:pt idx="1">
                  <c:v>Cameron Young</c:v>
                </c:pt>
                <c:pt idx="2">
                  <c:v>Matt Fitzpatrick</c:v>
                </c:pt>
                <c:pt idx="3">
                  <c:v>Xander Schauffele</c:v>
                </c:pt>
                <c:pt idx="4">
                  <c:v>Rory McIlroy</c:v>
                </c:pt>
                <c:pt idx="5">
                  <c:v>Jon Rahm</c:v>
                </c:pt>
                <c:pt idx="6">
                  <c:v>Collin Morikawa</c:v>
                </c:pt>
                <c:pt idx="7">
                  <c:v>Tommy Fleetwood</c:v>
                </c:pt>
                <c:pt idx="8">
                  <c:v>Tyrrell Hatton</c:v>
                </c:pt>
                <c:pt idx="9">
                  <c:v>Justin Rose</c:v>
                </c:pt>
                <c:pt idx="10">
                  <c:v>Brooks Koepka</c:v>
                </c:pt>
                <c:pt idx="11">
                  <c:v>Ludvig Åberg</c:v>
                </c:pt>
              </c:strCache>
            </c:strRef>
          </c:cat>
          <c:val>
            <c:numRef>
              <c:f>'Model Summary'!$C$7:$C$18</c:f>
              <c:numCache>
                <c:formatCode>0.0</c:formatCode>
                <c:ptCount val="12"/>
                <c:pt idx="0">
                  <c:v>90.6</c:v>
                </c:pt>
                <c:pt idx="1">
                  <c:v>87.3</c:v>
                </c:pt>
                <c:pt idx="2">
                  <c:v>87.2</c:v>
                </c:pt>
                <c:pt idx="3">
                  <c:v>86.8</c:v>
                </c:pt>
                <c:pt idx="4">
                  <c:v>85.3</c:v>
                </c:pt>
                <c:pt idx="5">
                  <c:v>82.3</c:v>
                </c:pt>
                <c:pt idx="6">
                  <c:v>81.900000000000006</c:v>
                </c:pt>
                <c:pt idx="7">
                  <c:v>81.2</c:v>
                </c:pt>
                <c:pt idx="8">
                  <c:v>81.2</c:v>
                </c:pt>
                <c:pt idx="9">
                  <c:v>80.5</c:v>
                </c:pt>
                <c:pt idx="10">
                  <c:v>80.2</c:v>
                </c:pt>
                <c:pt idx="11">
                  <c:v>79.900000000000006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CB-420D-A18B-C2A5AC2A0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SOpenContenders" displayName="USOpenContenders" ref="A1:X39">
  <tableColumns count="24">
    <tableColumn id="1" xr3:uid="{00000000-0010-0000-0000-000001000000}" name="Player"/>
    <tableColumn id="2" xr3:uid="{00000000-0010-0000-0000-000002000000}" name="Tour"/>
    <tableColumn id="3" xr3:uid="{00000000-0010-0000-0000-000003000000}" name="Custom Tier"/>
    <tableColumn id="4" xr3:uid="{00000000-0010-0000-0000-000004000000}" name="Odds / Market Note"/>
    <tableColumn id="5" xr3:uid="{00000000-0010-0000-0000-000005000000}" name="Current Form"/>
    <tableColumn id="6" xr3:uid="{00000000-0010-0000-0000-000006000000}" name="US Open Fit"/>
    <tableColumn id="7" xr3:uid="{00000000-0010-0000-0000-000007000000}" name="Shinnecock / Comp"/>
    <tableColumn id="8" xr3:uid="{00000000-0010-0000-0000-000008000000}" name="Cut Safety"/>
    <tableColumn id="9" xr3:uid="{00000000-0010-0000-0000-000009000000}" name="Upside"/>
    <tableColumn id="10" xr3:uid="{00000000-0010-0000-0000-00000A000000}" name="Volatility Risk"/>
    <tableColumn id="11" xr3:uid="{00000000-0010-0000-0000-00000B000000}" name="Overall Rating"/>
    <tableColumn id="12" xr3:uid="{00000000-0010-0000-0000-00000C000000}" name="Win Grade"/>
    <tableColumn id="13" xr3:uid="{00000000-0010-0000-0000-00000D000000}" name="Pool Action"/>
    <tableColumn id="14" xr3:uid="{00000000-0010-0000-0000-00000E000000}" name="Projected Score Range"/>
    <tableColumn id="15" xr3:uid="{00000000-0010-0000-0000-00000F000000}" name="Masters 2026"/>
    <tableColumn id="16" xr3:uid="{00000000-0010-0000-0000-000010000000}" name="PGA 2026"/>
    <tableColumn id="17" xr3:uid="{00000000-0010-0000-0000-000011000000}" name="Recent MC / Concern"/>
    <tableColumn id="18" xr3:uid="{00000000-0010-0000-0000-000012000000}" name="Shinnecock / US Open History"/>
    <tableColumn id="19" xr3:uid="{00000000-0010-0000-0000-000013000000}" name="Key Stats / Fit Signals"/>
    <tableColumn id="20" xr3:uid="{00000000-0010-0000-0000-000014000000}" name="Why He Can Win"/>
    <tableColumn id="21" xr3:uid="{00000000-0010-0000-0000-000015000000}" name="Red Flags"/>
    <tableColumn id="22" xr3:uid="{00000000-0010-0000-0000-000016000000}" name="Outside / LIV / Creator Notes"/>
    <tableColumn id="23" xr3:uid="{00000000-0010-0000-0000-000017000000}" name="Source URL 1"/>
    <tableColumn id="24" xr3:uid="{00000000-0010-0000-0000-000018000000}" name="Source URL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opBoard" displayName="TopBoard" ref="A6:H26">
  <tableColumns count="8">
    <tableColumn id="1" xr3:uid="{00000000-0010-0000-0100-000001000000}" name="Rank"/>
    <tableColumn id="2" xr3:uid="{00000000-0010-0000-0100-000002000000}" name="Player"/>
    <tableColumn id="3" xr3:uid="{00000000-0010-0000-0100-000003000000}" name="Rating"/>
    <tableColumn id="4" xr3:uid="{00000000-0010-0000-0100-000004000000}" name="Grade"/>
    <tableColumn id="5" xr3:uid="{00000000-0010-0000-0100-000005000000}" name="Pool Action"/>
    <tableColumn id="6" xr3:uid="{00000000-0010-0000-0100-000006000000}" name="Projected Score"/>
    <tableColumn id="7" xr3:uid="{00000000-0010-0000-0100-000007000000}" name="Main Green Flag"/>
    <tableColumn id="8" xr3:uid="{00000000-0010-0000-0100-000008000000}" name="Main Red Fla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ourceList" displayName="SourceList" ref="A9:C23">
  <tableColumns count="3">
    <tableColumn id="1" xr3:uid="{00000000-0010-0000-0200-000001000000}" name="Source"/>
    <tableColumn id="2" xr3:uid="{00000000-0010-0000-0200-000002000000}" name="URL"/>
    <tableColumn id="3" xr3:uid="{00000000-0010-0000-0200-000003000000}" name="Used F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9"/>
  <sheetViews>
    <sheetView tabSelected="1" workbookViewId="0">
      <selection activeCell="J2" sqref="J2"/>
    </sheetView>
  </sheetViews>
  <sheetFormatPr defaultRowHeight="14"/>
  <cols>
    <col min="1" max="1" width="20" customWidth="1"/>
    <col min="2" max="2" width="8" customWidth="1"/>
    <col min="3" max="4" width="18" customWidth="1"/>
    <col min="5" max="6" width="12" customWidth="1"/>
    <col min="7" max="7" width="14" customWidth="1"/>
    <col min="8" max="8" width="12" customWidth="1"/>
    <col min="9" max="9" width="10" customWidth="1"/>
    <col min="10" max="11" width="13" customWidth="1"/>
    <col min="12" max="12" width="10" customWidth="1"/>
    <col min="13" max="13" width="22" customWidth="1"/>
    <col min="14" max="14" width="18" customWidth="1"/>
    <col min="15" max="15" width="22" customWidth="1"/>
    <col min="16" max="16" width="20" customWidth="1"/>
    <col min="17" max="17" width="28" customWidth="1"/>
    <col min="18" max="18" width="30" customWidth="1"/>
    <col min="19" max="19" width="36" customWidth="1"/>
    <col min="20" max="21" width="42" customWidth="1"/>
    <col min="22" max="22" width="32" customWidth="1"/>
    <col min="23" max="24" width="36" customWidth="1"/>
  </cols>
  <sheetData>
    <row r="1" spans="1:24" ht="18.649999999999999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spans="1:24" ht="42">
      <c r="A2" s="4" t="s">
        <v>24</v>
      </c>
      <c r="B2" s="4" t="s">
        <v>25</v>
      </c>
      <c r="C2" s="4" t="s">
        <v>26</v>
      </c>
      <c r="D2" s="4" t="s">
        <v>27</v>
      </c>
      <c r="E2" s="5">
        <v>9.1999999999999993</v>
      </c>
      <c r="F2" s="5">
        <v>9.6</v>
      </c>
      <c r="G2" s="5">
        <v>7.5</v>
      </c>
      <c r="H2" s="5">
        <v>9.4</v>
      </c>
      <c r="I2" s="5">
        <v>9.5</v>
      </c>
      <c r="J2" s="5">
        <v>2</v>
      </c>
      <c r="K2" s="5">
        <f t="shared" ref="K2:K39" si="0">ROUND((E2*0.25+F2*0.25+G2*0.15+H2*0.15+I2*0.15+(10-J2)*0.05)*10,1)</f>
        <v>90.6</v>
      </c>
      <c r="L2" s="4" t="s">
        <v>28</v>
      </c>
      <c r="M2" s="4" t="s">
        <v>29</v>
      </c>
      <c r="N2" s="4" t="s">
        <v>30</v>
      </c>
      <c r="O2" s="4" t="s">
        <v>31</v>
      </c>
      <c r="P2" s="4" t="s">
        <v>32</v>
      </c>
      <c r="Q2" s="4" t="s">
        <v>33</v>
      </c>
      <c r="R2" s="4" t="s">
        <v>34</v>
      </c>
      <c r="S2" s="4" t="s">
        <v>35</v>
      </c>
      <c r="T2" s="4" t="s">
        <v>36</v>
      </c>
      <c r="U2" s="4" t="s">
        <v>37</v>
      </c>
      <c r="V2" s="4" t="s">
        <v>38</v>
      </c>
      <c r="W2" s="4" t="s">
        <v>39</v>
      </c>
      <c r="X2" s="4" t="s">
        <v>40</v>
      </c>
    </row>
    <row r="3" spans="1:24" ht="42">
      <c r="A3" s="4" t="s">
        <v>41</v>
      </c>
      <c r="B3" s="4" t="s">
        <v>25</v>
      </c>
      <c r="C3" s="4" t="s">
        <v>26</v>
      </c>
      <c r="D3" s="4" t="s">
        <v>42</v>
      </c>
      <c r="E3" s="5">
        <v>9</v>
      </c>
      <c r="F3" s="5">
        <v>8.6</v>
      </c>
      <c r="G3" s="5">
        <v>7</v>
      </c>
      <c r="H3" s="5">
        <v>8.8000000000000007</v>
      </c>
      <c r="I3" s="5">
        <v>9.4</v>
      </c>
      <c r="J3" s="5">
        <v>3</v>
      </c>
      <c r="K3" s="5">
        <f t="shared" si="0"/>
        <v>85.3</v>
      </c>
      <c r="L3" s="4" t="s">
        <v>43</v>
      </c>
      <c r="M3" s="4" t="s">
        <v>44</v>
      </c>
      <c r="N3" s="4" t="s">
        <v>45</v>
      </c>
      <c r="O3" s="4" t="s">
        <v>46</v>
      </c>
      <c r="P3" s="4" t="s">
        <v>47</v>
      </c>
      <c r="Q3" s="4" t="s">
        <v>48</v>
      </c>
      <c r="R3" s="4" t="s">
        <v>49</v>
      </c>
      <c r="S3" s="4" t="s">
        <v>50</v>
      </c>
      <c r="T3" s="4" t="s">
        <v>51</v>
      </c>
      <c r="U3" s="4" t="s">
        <v>52</v>
      </c>
      <c r="V3" s="4" t="s">
        <v>53</v>
      </c>
      <c r="W3" s="4" t="s">
        <v>54</v>
      </c>
      <c r="X3" s="4" t="s">
        <v>55</v>
      </c>
    </row>
    <row r="4" spans="1:24" ht="42">
      <c r="A4" s="4" t="s">
        <v>56</v>
      </c>
      <c r="B4" s="4" t="s">
        <v>57</v>
      </c>
      <c r="C4" s="4" t="s">
        <v>58</v>
      </c>
      <c r="D4" s="4" t="s">
        <v>59</v>
      </c>
      <c r="E4" s="5">
        <v>8.1</v>
      </c>
      <c r="F4" s="5">
        <v>9</v>
      </c>
      <c r="G4" s="5">
        <v>7.2</v>
      </c>
      <c r="H4" s="5">
        <v>8</v>
      </c>
      <c r="I4" s="5">
        <v>9</v>
      </c>
      <c r="J4" s="5">
        <v>3.5</v>
      </c>
      <c r="K4" s="5">
        <f t="shared" si="0"/>
        <v>82.3</v>
      </c>
      <c r="L4" s="4" t="s">
        <v>60</v>
      </c>
      <c r="M4" s="4" t="s">
        <v>61</v>
      </c>
      <c r="N4" s="4" t="s">
        <v>62</v>
      </c>
      <c r="O4" s="4" t="s">
        <v>63</v>
      </c>
      <c r="P4" s="4" t="s">
        <v>64</v>
      </c>
      <c r="Q4" s="4" t="s">
        <v>65</v>
      </c>
      <c r="R4" s="4" t="s">
        <v>66</v>
      </c>
      <c r="S4" s="4" t="s">
        <v>67</v>
      </c>
      <c r="T4" s="4" t="s">
        <v>68</v>
      </c>
      <c r="U4" s="4" t="s">
        <v>69</v>
      </c>
      <c r="V4" s="4" t="s">
        <v>70</v>
      </c>
      <c r="W4" s="4" t="s">
        <v>71</v>
      </c>
      <c r="X4" s="4" t="s">
        <v>55</v>
      </c>
    </row>
    <row r="5" spans="1:24" ht="42">
      <c r="A5" s="4" t="s">
        <v>72</v>
      </c>
      <c r="B5" s="4" t="s">
        <v>25</v>
      </c>
      <c r="C5" s="4" t="s">
        <v>73</v>
      </c>
      <c r="D5" s="4" t="s">
        <v>74</v>
      </c>
      <c r="E5" s="5">
        <v>9.4</v>
      </c>
      <c r="F5" s="5">
        <v>8.6999999999999993</v>
      </c>
      <c r="G5" s="5">
        <v>8</v>
      </c>
      <c r="H5" s="5">
        <v>8.3000000000000007</v>
      </c>
      <c r="I5" s="5">
        <v>9.6999999999999993</v>
      </c>
      <c r="J5" s="5">
        <v>4</v>
      </c>
      <c r="K5" s="5">
        <f t="shared" si="0"/>
        <v>87.3</v>
      </c>
      <c r="L5" s="4" t="s">
        <v>43</v>
      </c>
      <c r="M5" s="4" t="s">
        <v>75</v>
      </c>
      <c r="N5" s="4" t="s">
        <v>76</v>
      </c>
      <c r="O5" s="4" t="s">
        <v>77</v>
      </c>
      <c r="P5" s="4" t="s">
        <v>78</v>
      </c>
      <c r="Q5" s="4" t="s">
        <v>79</v>
      </c>
      <c r="R5" s="4" t="s">
        <v>80</v>
      </c>
      <c r="S5" s="4" t="s">
        <v>81</v>
      </c>
      <c r="T5" s="4" t="s">
        <v>82</v>
      </c>
      <c r="U5" s="4" t="s">
        <v>83</v>
      </c>
      <c r="V5" s="4" t="s">
        <v>84</v>
      </c>
      <c r="W5" s="4" t="s">
        <v>85</v>
      </c>
      <c r="X5" s="4" t="s">
        <v>86</v>
      </c>
    </row>
    <row r="6" spans="1:24" ht="42">
      <c r="A6" s="4" t="s">
        <v>87</v>
      </c>
      <c r="B6" s="4" t="s">
        <v>25</v>
      </c>
      <c r="C6" s="4" t="s">
        <v>88</v>
      </c>
      <c r="D6" s="4" t="s">
        <v>74</v>
      </c>
      <c r="E6" s="5">
        <v>8</v>
      </c>
      <c r="F6" s="5">
        <v>9.1999999999999993</v>
      </c>
      <c r="G6" s="5">
        <v>9</v>
      </c>
      <c r="H6" s="5">
        <v>9.3000000000000007</v>
      </c>
      <c r="I6" s="5">
        <v>8.4</v>
      </c>
      <c r="J6" s="5">
        <v>2.5</v>
      </c>
      <c r="K6" s="5">
        <f t="shared" si="0"/>
        <v>86.8</v>
      </c>
      <c r="L6" s="4" t="s">
        <v>43</v>
      </c>
      <c r="M6" s="4" t="s">
        <v>89</v>
      </c>
      <c r="N6" s="4" t="s">
        <v>62</v>
      </c>
      <c r="O6" s="4" t="s">
        <v>90</v>
      </c>
      <c r="P6" s="4" t="s">
        <v>47</v>
      </c>
      <c r="Q6" s="4" t="s">
        <v>91</v>
      </c>
      <c r="R6" s="4" t="s">
        <v>92</v>
      </c>
      <c r="S6" s="4" t="s">
        <v>93</v>
      </c>
      <c r="T6" s="4" t="s">
        <v>94</v>
      </c>
      <c r="U6" s="4" t="s">
        <v>95</v>
      </c>
      <c r="V6" s="4" t="s">
        <v>96</v>
      </c>
      <c r="W6" s="4" t="s">
        <v>97</v>
      </c>
      <c r="X6" s="4" t="s">
        <v>55</v>
      </c>
    </row>
    <row r="7" spans="1:24" ht="42">
      <c r="A7" s="4" t="s">
        <v>98</v>
      </c>
      <c r="B7" s="4" t="s">
        <v>25</v>
      </c>
      <c r="C7" s="4" t="s">
        <v>99</v>
      </c>
      <c r="D7" s="4" t="s">
        <v>100</v>
      </c>
      <c r="E7" s="5">
        <v>9</v>
      </c>
      <c r="F7" s="5">
        <v>9.1</v>
      </c>
      <c r="G7" s="5">
        <v>8.6</v>
      </c>
      <c r="H7" s="5">
        <v>8.4</v>
      </c>
      <c r="I7" s="5">
        <v>8.6</v>
      </c>
      <c r="J7" s="5">
        <v>3</v>
      </c>
      <c r="K7" s="5">
        <f t="shared" si="0"/>
        <v>87.2</v>
      </c>
      <c r="L7" s="4" t="s">
        <v>43</v>
      </c>
      <c r="M7" s="4" t="s">
        <v>101</v>
      </c>
      <c r="N7" s="4" t="s">
        <v>102</v>
      </c>
      <c r="O7" s="4" t="s">
        <v>103</v>
      </c>
      <c r="P7" s="4" t="s">
        <v>104</v>
      </c>
      <c r="Q7" s="4" t="s">
        <v>105</v>
      </c>
      <c r="R7" s="4" t="s">
        <v>106</v>
      </c>
      <c r="S7" s="4" t="s">
        <v>107</v>
      </c>
      <c r="T7" s="4" t="s">
        <v>108</v>
      </c>
      <c r="U7" s="4" t="s">
        <v>109</v>
      </c>
      <c r="V7" s="4" t="s">
        <v>110</v>
      </c>
      <c r="W7" s="4" t="s">
        <v>97</v>
      </c>
      <c r="X7" s="4" t="s">
        <v>39</v>
      </c>
    </row>
    <row r="8" spans="1:24" ht="28">
      <c r="A8" s="4" t="s">
        <v>111</v>
      </c>
      <c r="B8" s="4" t="s">
        <v>25</v>
      </c>
      <c r="C8" s="4" t="s">
        <v>112</v>
      </c>
      <c r="D8" s="4" t="s">
        <v>113</v>
      </c>
      <c r="E8" s="5">
        <v>7.7</v>
      </c>
      <c r="F8" s="5">
        <v>9.3000000000000007</v>
      </c>
      <c r="G8" s="5">
        <v>7.2</v>
      </c>
      <c r="H8" s="5">
        <v>8.5</v>
      </c>
      <c r="I8" s="5">
        <v>8.1999999999999993</v>
      </c>
      <c r="J8" s="5">
        <v>3</v>
      </c>
      <c r="K8" s="5">
        <f t="shared" si="0"/>
        <v>81.900000000000006</v>
      </c>
      <c r="L8" s="4" t="s">
        <v>60</v>
      </c>
      <c r="M8" s="4" t="s">
        <v>114</v>
      </c>
      <c r="N8" s="4" t="s">
        <v>115</v>
      </c>
      <c r="O8" s="4" t="s">
        <v>103</v>
      </c>
      <c r="P8" s="4" t="s">
        <v>103</v>
      </c>
      <c r="Q8" s="4" t="s">
        <v>116</v>
      </c>
      <c r="R8" s="4" t="s">
        <v>117</v>
      </c>
      <c r="S8" s="4" t="s">
        <v>118</v>
      </c>
      <c r="T8" s="4" t="s">
        <v>119</v>
      </c>
      <c r="U8" s="4" t="s">
        <v>120</v>
      </c>
      <c r="V8" s="4" t="s">
        <v>121</v>
      </c>
      <c r="W8" s="4" t="s">
        <v>39</v>
      </c>
      <c r="X8" s="4" t="s">
        <v>122</v>
      </c>
    </row>
    <row r="9" spans="1:24" ht="56">
      <c r="A9" s="4" t="s">
        <v>123</v>
      </c>
      <c r="B9" s="4" t="s">
        <v>25</v>
      </c>
      <c r="C9" s="4" t="s">
        <v>112</v>
      </c>
      <c r="D9" s="4" t="s">
        <v>100</v>
      </c>
      <c r="E9" s="5">
        <v>8.1999999999999993</v>
      </c>
      <c r="F9" s="5">
        <v>8.5</v>
      </c>
      <c r="G9" s="5">
        <v>6.8</v>
      </c>
      <c r="H9" s="5">
        <v>7.8</v>
      </c>
      <c r="I9" s="5">
        <v>9</v>
      </c>
      <c r="J9" s="5">
        <v>4.5</v>
      </c>
      <c r="K9" s="5">
        <f t="shared" si="0"/>
        <v>79.900000000000006</v>
      </c>
      <c r="L9" s="4" t="s">
        <v>60</v>
      </c>
      <c r="M9" s="4" t="s">
        <v>124</v>
      </c>
      <c r="N9" s="4" t="s">
        <v>125</v>
      </c>
      <c r="O9" s="4" t="s">
        <v>103</v>
      </c>
      <c r="P9" s="4" t="s">
        <v>126</v>
      </c>
      <c r="Q9" s="4" t="s">
        <v>127</v>
      </c>
      <c r="R9" s="4" t="s">
        <v>117</v>
      </c>
      <c r="S9" s="4" t="s">
        <v>128</v>
      </c>
      <c r="T9" s="4" t="s">
        <v>129</v>
      </c>
      <c r="U9" s="4" t="s">
        <v>130</v>
      </c>
      <c r="V9" s="4" t="s">
        <v>131</v>
      </c>
      <c r="W9" s="4" t="s">
        <v>132</v>
      </c>
      <c r="X9" s="4" t="s">
        <v>133</v>
      </c>
    </row>
    <row r="10" spans="1:24" ht="42">
      <c r="A10" s="4" t="s">
        <v>134</v>
      </c>
      <c r="B10" s="4" t="s">
        <v>25</v>
      </c>
      <c r="C10" s="4" t="s">
        <v>112</v>
      </c>
      <c r="D10" s="4" t="s">
        <v>135</v>
      </c>
      <c r="E10" s="5">
        <v>7.3</v>
      </c>
      <c r="F10" s="5">
        <v>9.1999999999999993</v>
      </c>
      <c r="G10" s="5">
        <v>9.5</v>
      </c>
      <c r="H10" s="5">
        <v>7.2</v>
      </c>
      <c r="I10" s="5">
        <v>8.1</v>
      </c>
      <c r="J10" s="5">
        <v>4.5</v>
      </c>
      <c r="K10" s="5">
        <f t="shared" si="0"/>
        <v>81.2</v>
      </c>
      <c r="L10" s="4" t="s">
        <v>136</v>
      </c>
      <c r="M10" s="4" t="s">
        <v>137</v>
      </c>
      <c r="N10" s="4" t="s">
        <v>138</v>
      </c>
      <c r="O10" s="4" t="s">
        <v>139</v>
      </c>
      <c r="P10" s="4" t="s">
        <v>140</v>
      </c>
      <c r="Q10" s="4" t="s">
        <v>141</v>
      </c>
      <c r="R10" s="4" t="s">
        <v>142</v>
      </c>
      <c r="S10" s="4" t="s">
        <v>143</v>
      </c>
      <c r="T10" s="4" t="s">
        <v>144</v>
      </c>
      <c r="U10" s="4" t="s">
        <v>145</v>
      </c>
      <c r="V10" s="4" t="s">
        <v>146</v>
      </c>
      <c r="W10" s="4" t="s">
        <v>147</v>
      </c>
      <c r="X10" s="4" t="s">
        <v>148</v>
      </c>
    </row>
    <row r="11" spans="1:24" ht="42">
      <c r="A11" s="4" t="s">
        <v>149</v>
      </c>
      <c r="B11" s="4" t="s">
        <v>57</v>
      </c>
      <c r="C11" s="4" t="s">
        <v>150</v>
      </c>
      <c r="D11" s="4" t="s">
        <v>151</v>
      </c>
      <c r="E11" s="5">
        <v>6.6</v>
      </c>
      <c r="F11" s="5">
        <v>8.5</v>
      </c>
      <c r="G11" s="5">
        <v>7</v>
      </c>
      <c r="H11" s="5">
        <v>5.5</v>
      </c>
      <c r="I11" s="5">
        <v>9.8000000000000007</v>
      </c>
      <c r="J11" s="5">
        <v>8</v>
      </c>
      <c r="K11" s="5">
        <f t="shared" si="0"/>
        <v>72.2</v>
      </c>
      <c r="L11" s="4" t="s">
        <v>136</v>
      </c>
      <c r="M11" s="4" t="s">
        <v>152</v>
      </c>
      <c r="N11" s="4" t="s">
        <v>153</v>
      </c>
      <c r="O11" s="4" t="s">
        <v>154</v>
      </c>
      <c r="P11" s="4" t="s">
        <v>155</v>
      </c>
      <c r="Q11" s="4" t="s">
        <v>156</v>
      </c>
      <c r="R11" s="4" t="s">
        <v>157</v>
      </c>
      <c r="S11" s="4" t="s">
        <v>158</v>
      </c>
      <c r="T11" s="4" t="s">
        <v>159</v>
      </c>
      <c r="U11" s="4" t="s">
        <v>160</v>
      </c>
      <c r="V11" s="4" t="s">
        <v>161</v>
      </c>
      <c r="W11" s="4" t="s">
        <v>162</v>
      </c>
      <c r="X11" s="4" t="s">
        <v>163</v>
      </c>
    </row>
    <row r="12" spans="1:24" ht="42">
      <c r="A12" s="4" t="s">
        <v>164</v>
      </c>
      <c r="B12" s="4" t="s">
        <v>57</v>
      </c>
      <c r="C12" s="4" t="s">
        <v>165</v>
      </c>
      <c r="D12" s="4" t="s">
        <v>166</v>
      </c>
      <c r="E12" s="5">
        <v>6.8</v>
      </c>
      <c r="F12" s="5">
        <v>8.8000000000000007</v>
      </c>
      <c r="G12" s="5">
        <v>10</v>
      </c>
      <c r="H12" s="5">
        <v>7</v>
      </c>
      <c r="I12" s="5">
        <v>9</v>
      </c>
      <c r="J12" s="5">
        <v>5.5</v>
      </c>
      <c r="K12" s="5">
        <f t="shared" si="0"/>
        <v>80.3</v>
      </c>
      <c r="L12" s="4" t="s">
        <v>136</v>
      </c>
      <c r="M12" s="4" t="s">
        <v>167</v>
      </c>
      <c r="N12" s="4" t="s">
        <v>168</v>
      </c>
      <c r="O12" s="4" t="s">
        <v>103</v>
      </c>
      <c r="P12" s="4" t="s">
        <v>169</v>
      </c>
      <c r="Q12" s="4" t="s">
        <v>170</v>
      </c>
      <c r="R12" s="4" t="s">
        <v>171</v>
      </c>
      <c r="S12" s="4" t="s">
        <v>172</v>
      </c>
      <c r="T12" s="4" t="s">
        <v>173</v>
      </c>
      <c r="U12" s="4" t="s">
        <v>174</v>
      </c>
      <c r="V12" s="4" t="s">
        <v>175</v>
      </c>
      <c r="W12" s="4" t="s">
        <v>148</v>
      </c>
      <c r="X12" s="4" t="s">
        <v>176</v>
      </c>
    </row>
    <row r="13" spans="1:24" ht="42">
      <c r="A13" s="4" t="s">
        <v>177</v>
      </c>
      <c r="B13" s="4" t="s">
        <v>57</v>
      </c>
      <c r="C13" s="4" t="s">
        <v>178</v>
      </c>
      <c r="D13" s="4" t="s">
        <v>179</v>
      </c>
      <c r="E13" s="5">
        <v>8.1</v>
      </c>
      <c r="F13" s="5">
        <v>8.6999999999999993</v>
      </c>
      <c r="G13" s="5">
        <v>8.5</v>
      </c>
      <c r="H13" s="5">
        <v>7.8</v>
      </c>
      <c r="I13" s="5">
        <v>8</v>
      </c>
      <c r="J13" s="5">
        <v>4.5</v>
      </c>
      <c r="K13" s="5">
        <f t="shared" si="0"/>
        <v>81.2</v>
      </c>
      <c r="L13" s="4" t="s">
        <v>136</v>
      </c>
      <c r="M13" s="4" t="s">
        <v>180</v>
      </c>
      <c r="N13" s="4" t="s">
        <v>138</v>
      </c>
      <c r="O13" s="4" t="s">
        <v>77</v>
      </c>
      <c r="P13" s="4" t="s">
        <v>154</v>
      </c>
      <c r="Q13" s="4" t="s">
        <v>181</v>
      </c>
      <c r="R13" s="4" t="s">
        <v>182</v>
      </c>
      <c r="S13" s="4" t="s">
        <v>183</v>
      </c>
      <c r="T13" s="4" t="s">
        <v>184</v>
      </c>
      <c r="U13" s="4" t="s">
        <v>185</v>
      </c>
      <c r="V13" s="4" t="s">
        <v>186</v>
      </c>
      <c r="W13" s="4" t="s">
        <v>187</v>
      </c>
      <c r="X13" s="4" t="s">
        <v>147</v>
      </c>
    </row>
    <row r="14" spans="1:24" ht="42">
      <c r="A14" s="4" t="s">
        <v>188</v>
      </c>
      <c r="B14" s="4" t="s">
        <v>25</v>
      </c>
      <c r="C14" s="4" t="s">
        <v>189</v>
      </c>
      <c r="D14" s="4" t="s">
        <v>190</v>
      </c>
      <c r="E14" s="5">
        <v>8</v>
      </c>
      <c r="F14" s="5">
        <v>8.9</v>
      </c>
      <c r="G14" s="5">
        <v>6.5</v>
      </c>
      <c r="H14" s="5">
        <v>7.5</v>
      </c>
      <c r="I14" s="5">
        <v>7.4</v>
      </c>
      <c r="J14" s="5">
        <v>3.8</v>
      </c>
      <c r="K14" s="5">
        <f t="shared" si="0"/>
        <v>77.5</v>
      </c>
      <c r="L14" s="4" t="s">
        <v>136</v>
      </c>
      <c r="M14" s="4" t="s">
        <v>191</v>
      </c>
      <c r="N14" s="4" t="s">
        <v>192</v>
      </c>
      <c r="O14" s="4" t="s">
        <v>77</v>
      </c>
      <c r="P14" s="4" t="s">
        <v>140</v>
      </c>
      <c r="Q14" s="4" t="s">
        <v>193</v>
      </c>
      <c r="R14" s="4" t="s">
        <v>194</v>
      </c>
      <c r="S14" s="4" t="s">
        <v>195</v>
      </c>
      <c r="T14" s="4" t="s">
        <v>196</v>
      </c>
      <c r="U14" s="4" t="s">
        <v>197</v>
      </c>
      <c r="V14" s="4" t="s">
        <v>198</v>
      </c>
      <c r="W14" s="4" t="s">
        <v>199</v>
      </c>
      <c r="X14" s="4" t="s">
        <v>187</v>
      </c>
    </row>
    <row r="15" spans="1:24" ht="56">
      <c r="A15" s="4" t="s">
        <v>200</v>
      </c>
      <c r="B15" s="4" t="s">
        <v>25</v>
      </c>
      <c r="C15" s="4" t="s">
        <v>201</v>
      </c>
      <c r="D15" s="4" t="s">
        <v>179</v>
      </c>
      <c r="E15" s="5">
        <v>7.7</v>
      </c>
      <c r="F15" s="5">
        <v>8.6</v>
      </c>
      <c r="G15" s="5">
        <v>8.8000000000000007</v>
      </c>
      <c r="H15" s="5">
        <v>8</v>
      </c>
      <c r="I15" s="5">
        <v>7.7</v>
      </c>
      <c r="J15" s="5">
        <v>4</v>
      </c>
      <c r="K15" s="5">
        <f t="shared" si="0"/>
        <v>80.5</v>
      </c>
      <c r="L15" s="4" t="s">
        <v>136</v>
      </c>
      <c r="M15" s="4" t="s">
        <v>202</v>
      </c>
      <c r="N15" s="4" t="s">
        <v>203</v>
      </c>
      <c r="O15" s="4" t="s">
        <v>77</v>
      </c>
      <c r="P15" s="4" t="s">
        <v>204</v>
      </c>
      <c r="Q15" s="4" t="s">
        <v>205</v>
      </c>
      <c r="R15" s="4" t="s">
        <v>206</v>
      </c>
      <c r="S15" s="4" t="s">
        <v>207</v>
      </c>
      <c r="T15" s="4" t="s">
        <v>208</v>
      </c>
      <c r="U15" s="4" t="s">
        <v>209</v>
      </c>
      <c r="V15" s="4" t="s">
        <v>210</v>
      </c>
      <c r="W15" s="4" t="s">
        <v>187</v>
      </c>
      <c r="X15" s="4" t="s">
        <v>133</v>
      </c>
    </row>
    <row r="16" spans="1:24" ht="56">
      <c r="A16" s="4" t="s">
        <v>211</v>
      </c>
      <c r="B16" s="4" t="s">
        <v>25</v>
      </c>
      <c r="C16" s="4" t="s">
        <v>212</v>
      </c>
      <c r="D16" s="4" t="s">
        <v>213</v>
      </c>
      <c r="E16" s="5">
        <v>7.8</v>
      </c>
      <c r="F16" s="5">
        <v>7.8</v>
      </c>
      <c r="G16" s="5">
        <v>6.8</v>
      </c>
      <c r="H16" s="5">
        <v>7</v>
      </c>
      <c r="I16" s="5">
        <v>8.6999999999999993</v>
      </c>
      <c r="J16" s="5">
        <v>5.8</v>
      </c>
      <c r="K16" s="5">
        <f t="shared" si="0"/>
        <v>74.900000000000006</v>
      </c>
      <c r="L16" s="4" t="s">
        <v>214</v>
      </c>
      <c r="M16" s="4" t="s">
        <v>215</v>
      </c>
      <c r="N16" s="4" t="s">
        <v>216</v>
      </c>
      <c r="O16" s="4" t="s">
        <v>103</v>
      </c>
      <c r="P16" s="4" t="s">
        <v>126</v>
      </c>
      <c r="Q16" s="4" t="s">
        <v>217</v>
      </c>
      <c r="R16" s="4" t="s">
        <v>218</v>
      </c>
      <c r="S16" s="4" t="s">
        <v>219</v>
      </c>
      <c r="T16" s="4" t="s">
        <v>220</v>
      </c>
      <c r="U16" s="4" t="s">
        <v>221</v>
      </c>
      <c r="V16" s="4" t="s">
        <v>222</v>
      </c>
      <c r="W16" s="4" t="s">
        <v>133</v>
      </c>
      <c r="X16" s="4" t="s">
        <v>223</v>
      </c>
    </row>
    <row r="17" spans="1:24" ht="42">
      <c r="A17" s="4" t="s">
        <v>224</v>
      </c>
      <c r="B17" s="4" t="s">
        <v>25</v>
      </c>
      <c r="C17" s="4" t="s">
        <v>225</v>
      </c>
      <c r="D17" s="4" t="s">
        <v>226</v>
      </c>
      <c r="E17" s="5">
        <v>8.6999999999999993</v>
      </c>
      <c r="F17" s="5">
        <v>8.5</v>
      </c>
      <c r="G17" s="5">
        <v>6</v>
      </c>
      <c r="H17" s="5">
        <v>8</v>
      </c>
      <c r="I17" s="5">
        <v>7.7</v>
      </c>
      <c r="J17" s="5">
        <v>4.8</v>
      </c>
      <c r="K17" s="5">
        <f t="shared" si="0"/>
        <v>78.2</v>
      </c>
      <c r="L17" s="4" t="s">
        <v>214</v>
      </c>
      <c r="M17" s="4" t="s">
        <v>227</v>
      </c>
      <c r="N17" s="4" t="s">
        <v>228</v>
      </c>
      <c r="O17" s="4" t="s">
        <v>103</v>
      </c>
      <c r="P17" s="4" t="s">
        <v>229</v>
      </c>
      <c r="Q17" s="4" t="s">
        <v>230</v>
      </c>
      <c r="R17" s="4" t="s">
        <v>117</v>
      </c>
      <c r="S17" s="4" t="s">
        <v>231</v>
      </c>
      <c r="T17" s="4" t="s">
        <v>232</v>
      </c>
      <c r="U17" s="4" t="s">
        <v>233</v>
      </c>
      <c r="V17" s="4" t="s">
        <v>234</v>
      </c>
      <c r="W17" s="4" t="s">
        <v>55</v>
      </c>
      <c r="X17" s="4" t="s">
        <v>235</v>
      </c>
    </row>
    <row r="18" spans="1:24" ht="42">
      <c r="A18" s="4" t="s">
        <v>236</v>
      </c>
      <c r="B18" s="4" t="s">
        <v>57</v>
      </c>
      <c r="C18" s="4" t="s">
        <v>237</v>
      </c>
      <c r="D18" s="4" t="s">
        <v>238</v>
      </c>
      <c r="E18" s="5">
        <v>7.5</v>
      </c>
      <c r="F18" s="5">
        <v>8.1</v>
      </c>
      <c r="G18" s="5">
        <v>6.4</v>
      </c>
      <c r="H18" s="5">
        <v>7.5</v>
      </c>
      <c r="I18" s="5">
        <v>8.4</v>
      </c>
      <c r="J18" s="5">
        <v>5</v>
      </c>
      <c r="K18" s="5">
        <f t="shared" si="0"/>
        <v>75</v>
      </c>
      <c r="L18" s="4" t="s">
        <v>214</v>
      </c>
      <c r="M18" s="4" t="s">
        <v>239</v>
      </c>
      <c r="N18" s="4" t="s">
        <v>240</v>
      </c>
      <c r="O18" s="4" t="s">
        <v>241</v>
      </c>
      <c r="P18" s="4" t="s">
        <v>242</v>
      </c>
      <c r="Q18" s="4" t="s">
        <v>243</v>
      </c>
      <c r="R18" s="4" t="s">
        <v>117</v>
      </c>
      <c r="S18" s="4" t="s">
        <v>244</v>
      </c>
      <c r="T18" s="4" t="s">
        <v>245</v>
      </c>
      <c r="U18" s="4" t="s">
        <v>246</v>
      </c>
      <c r="V18" s="4" t="s">
        <v>247</v>
      </c>
      <c r="W18" s="4" t="s">
        <v>248</v>
      </c>
      <c r="X18" s="4" t="s">
        <v>249</v>
      </c>
    </row>
    <row r="19" spans="1:24" ht="42">
      <c r="A19" s="4" t="s">
        <v>250</v>
      </c>
      <c r="B19" s="4" t="s">
        <v>57</v>
      </c>
      <c r="C19" s="4" t="s">
        <v>251</v>
      </c>
      <c r="D19" s="4" t="s">
        <v>252</v>
      </c>
      <c r="E19" s="5">
        <v>7</v>
      </c>
      <c r="F19" s="5">
        <v>7.6</v>
      </c>
      <c r="G19" s="5">
        <v>6.8</v>
      </c>
      <c r="H19" s="5">
        <v>6.5</v>
      </c>
      <c r="I19" s="5">
        <v>8</v>
      </c>
      <c r="J19" s="5">
        <v>6.5</v>
      </c>
      <c r="K19" s="5">
        <f t="shared" si="0"/>
        <v>70.2</v>
      </c>
      <c r="L19" s="4" t="s">
        <v>253</v>
      </c>
      <c r="M19" s="4" t="s">
        <v>254</v>
      </c>
      <c r="N19" s="4" t="s">
        <v>255</v>
      </c>
      <c r="O19" s="4" t="s">
        <v>256</v>
      </c>
      <c r="P19" s="4" t="s">
        <v>47</v>
      </c>
      <c r="Q19" s="4" t="s">
        <v>257</v>
      </c>
      <c r="R19" s="4" t="s">
        <v>218</v>
      </c>
      <c r="S19" s="4" t="s">
        <v>258</v>
      </c>
      <c r="T19" s="4" t="s">
        <v>259</v>
      </c>
      <c r="U19" s="4" t="s">
        <v>260</v>
      </c>
      <c r="V19" s="4" t="s">
        <v>261</v>
      </c>
      <c r="W19" s="4" t="s">
        <v>262</v>
      </c>
      <c r="X19" s="4" t="s">
        <v>248</v>
      </c>
    </row>
    <row r="20" spans="1:24" ht="42">
      <c r="A20" s="4" t="s">
        <v>263</v>
      </c>
      <c r="B20" s="4" t="s">
        <v>25</v>
      </c>
      <c r="C20" s="4" t="s">
        <v>264</v>
      </c>
      <c r="D20" s="4" t="s">
        <v>265</v>
      </c>
      <c r="E20" s="5">
        <v>6.9</v>
      </c>
      <c r="F20" s="5">
        <v>7.7</v>
      </c>
      <c r="G20" s="5">
        <v>6.8</v>
      </c>
      <c r="H20" s="5">
        <v>6.4</v>
      </c>
      <c r="I20" s="5">
        <v>8.5</v>
      </c>
      <c r="J20" s="5">
        <v>6.8</v>
      </c>
      <c r="K20" s="5">
        <f t="shared" si="0"/>
        <v>70.7</v>
      </c>
      <c r="L20" s="4" t="s">
        <v>253</v>
      </c>
      <c r="M20" s="4" t="s">
        <v>266</v>
      </c>
      <c r="N20" s="4" t="s">
        <v>267</v>
      </c>
      <c r="O20" s="4" t="s">
        <v>103</v>
      </c>
      <c r="P20" s="4" t="s">
        <v>140</v>
      </c>
      <c r="Q20" s="4" t="s">
        <v>268</v>
      </c>
      <c r="R20" s="4" t="s">
        <v>117</v>
      </c>
      <c r="S20" s="4" t="s">
        <v>269</v>
      </c>
      <c r="T20" s="4" t="s">
        <v>270</v>
      </c>
      <c r="U20" s="4" t="s">
        <v>271</v>
      </c>
      <c r="V20" s="4" t="s">
        <v>272</v>
      </c>
      <c r="W20" s="4" t="s">
        <v>273</v>
      </c>
      <c r="X20" s="4" t="s">
        <v>147</v>
      </c>
    </row>
    <row r="21" spans="1:24" ht="42">
      <c r="A21" s="4" t="s">
        <v>274</v>
      </c>
      <c r="B21" s="4" t="s">
        <v>25</v>
      </c>
      <c r="C21" s="4" t="s">
        <v>275</v>
      </c>
      <c r="D21" s="4" t="s">
        <v>265</v>
      </c>
      <c r="E21" s="5">
        <v>6.8</v>
      </c>
      <c r="F21" s="5">
        <v>8</v>
      </c>
      <c r="G21" s="5">
        <v>6.6</v>
      </c>
      <c r="H21" s="5">
        <v>6.2</v>
      </c>
      <c r="I21" s="5">
        <v>8.8000000000000007</v>
      </c>
      <c r="J21" s="5">
        <v>7</v>
      </c>
      <c r="K21" s="5">
        <f t="shared" si="0"/>
        <v>70.900000000000006</v>
      </c>
      <c r="L21" s="4" t="s">
        <v>253</v>
      </c>
      <c r="M21" s="4" t="s">
        <v>276</v>
      </c>
      <c r="N21" s="4" t="s">
        <v>277</v>
      </c>
      <c r="O21" s="4" t="s">
        <v>103</v>
      </c>
      <c r="P21" s="4" t="s">
        <v>154</v>
      </c>
      <c r="Q21" s="4" t="s">
        <v>278</v>
      </c>
      <c r="R21" s="4" t="s">
        <v>117</v>
      </c>
      <c r="S21" s="4" t="s">
        <v>279</v>
      </c>
      <c r="T21" s="4" t="s">
        <v>280</v>
      </c>
      <c r="U21" s="4" t="s">
        <v>281</v>
      </c>
      <c r="V21" s="4" t="s">
        <v>282</v>
      </c>
      <c r="W21" s="4" t="s">
        <v>147</v>
      </c>
      <c r="X21" s="4" t="s">
        <v>132</v>
      </c>
    </row>
    <row r="22" spans="1:24" ht="42">
      <c r="A22" s="4" t="s">
        <v>283</v>
      </c>
      <c r="B22" s="4" t="s">
        <v>25</v>
      </c>
      <c r="C22" s="4" t="s">
        <v>284</v>
      </c>
      <c r="D22" s="4" t="s">
        <v>285</v>
      </c>
      <c r="E22" s="5">
        <v>6.7</v>
      </c>
      <c r="F22" s="5">
        <v>7.5</v>
      </c>
      <c r="G22" s="5">
        <v>6</v>
      </c>
      <c r="H22" s="5">
        <v>5.8</v>
      </c>
      <c r="I22" s="5">
        <v>8.4</v>
      </c>
      <c r="J22" s="5">
        <v>7</v>
      </c>
      <c r="K22" s="5">
        <f t="shared" si="0"/>
        <v>67.3</v>
      </c>
      <c r="L22" s="4" t="s">
        <v>286</v>
      </c>
      <c r="M22" s="4" t="s">
        <v>287</v>
      </c>
      <c r="N22" s="4" t="s">
        <v>288</v>
      </c>
      <c r="O22" s="4" t="s">
        <v>289</v>
      </c>
      <c r="P22" s="4" t="s">
        <v>140</v>
      </c>
      <c r="Q22" s="4" t="s">
        <v>290</v>
      </c>
      <c r="R22" s="4" t="s">
        <v>117</v>
      </c>
      <c r="S22" s="4" t="s">
        <v>291</v>
      </c>
      <c r="T22" s="4" t="s">
        <v>292</v>
      </c>
      <c r="U22" s="4" t="s">
        <v>293</v>
      </c>
      <c r="V22" s="4" t="s">
        <v>294</v>
      </c>
      <c r="W22" s="4" t="s">
        <v>163</v>
      </c>
      <c r="X22" s="4" t="s">
        <v>147</v>
      </c>
    </row>
    <row r="23" spans="1:24" ht="42">
      <c r="A23" s="4" t="s">
        <v>295</v>
      </c>
      <c r="B23" s="4" t="s">
        <v>25</v>
      </c>
      <c r="C23" s="4" t="s">
        <v>296</v>
      </c>
      <c r="D23" s="4" t="s">
        <v>226</v>
      </c>
      <c r="E23" s="5">
        <v>6.6</v>
      </c>
      <c r="F23" s="5">
        <v>7.8</v>
      </c>
      <c r="G23" s="5">
        <v>6.2</v>
      </c>
      <c r="H23" s="5">
        <v>6.3</v>
      </c>
      <c r="I23" s="5">
        <v>7.4</v>
      </c>
      <c r="J23" s="5">
        <v>5.5</v>
      </c>
      <c r="K23" s="5">
        <f t="shared" si="0"/>
        <v>68.099999999999994</v>
      </c>
      <c r="L23" s="4" t="s">
        <v>286</v>
      </c>
      <c r="M23" s="4" t="s">
        <v>297</v>
      </c>
      <c r="N23" s="4" t="s">
        <v>298</v>
      </c>
      <c r="O23" s="4" t="s">
        <v>103</v>
      </c>
      <c r="P23" s="4" t="s">
        <v>140</v>
      </c>
      <c r="Q23" s="4" t="s">
        <v>299</v>
      </c>
      <c r="R23" s="4" t="s">
        <v>117</v>
      </c>
      <c r="S23" s="4" t="s">
        <v>300</v>
      </c>
      <c r="T23" s="4" t="s">
        <v>301</v>
      </c>
      <c r="U23" s="4" t="s">
        <v>302</v>
      </c>
      <c r="V23" s="4" t="s">
        <v>303</v>
      </c>
      <c r="W23" s="4" t="s">
        <v>147</v>
      </c>
      <c r="X23" s="4" t="s">
        <v>304</v>
      </c>
    </row>
    <row r="24" spans="1:24" ht="28">
      <c r="A24" s="4" t="s">
        <v>305</v>
      </c>
      <c r="B24" s="4" t="s">
        <v>25</v>
      </c>
      <c r="C24" s="4" t="s">
        <v>306</v>
      </c>
      <c r="D24" s="4" t="s">
        <v>307</v>
      </c>
      <c r="E24" s="5">
        <v>6.9</v>
      </c>
      <c r="F24" s="5">
        <v>8.4</v>
      </c>
      <c r="G24" s="5">
        <v>6.4</v>
      </c>
      <c r="H24" s="5">
        <v>7.4</v>
      </c>
      <c r="I24" s="5">
        <v>7</v>
      </c>
      <c r="J24" s="5">
        <v>4.5</v>
      </c>
      <c r="K24" s="5">
        <f t="shared" si="0"/>
        <v>72.2</v>
      </c>
      <c r="L24" s="4" t="s">
        <v>253</v>
      </c>
      <c r="M24" s="4" t="s">
        <v>308</v>
      </c>
      <c r="N24" s="4" t="s">
        <v>309</v>
      </c>
      <c r="O24" s="4" t="s">
        <v>103</v>
      </c>
      <c r="P24" s="4" t="s">
        <v>103</v>
      </c>
      <c r="Q24" s="4" t="s">
        <v>310</v>
      </c>
      <c r="R24" s="4" t="s">
        <v>117</v>
      </c>
      <c r="S24" s="4" t="s">
        <v>311</v>
      </c>
      <c r="T24" s="4" t="s">
        <v>312</v>
      </c>
      <c r="U24" s="4" t="s">
        <v>313</v>
      </c>
      <c r="V24" s="4" t="s">
        <v>314</v>
      </c>
      <c r="W24" s="4" t="s">
        <v>39</v>
      </c>
      <c r="X24" s="4" t="s">
        <v>40</v>
      </c>
    </row>
    <row r="25" spans="1:24" ht="28">
      <c r="A25" s="4" t="s">
        <v>315</v>
      </c>
      <c r="B25" s="4" t="s">
        <v>25</v>
      </c>
      <c r="C25" s="4" t="s">
        <v>316</v>
      </c>
      <c r="D25" s="4" t="s">
        <v>317</v>
      </c>
      <c r="E25" s="5">
        <v>6.8</v>
      </c>
      <c r="F25" s="5">
        <v>8.1999999999999993</v>
      </c>
      <c r="G25" s="5">
        <v>8</v>
      </c>
      <c r="H25" s="5">
        <v>7.2</v>
      </c>
      <c r="I25" s="5">
        <v>7.8</v>
      </c>
      <c r="J25" s="5">
        <v>5</v>
      </c>
      <c r="K25" s="5">
        <f t="shared" si="0"/>
        <v>74.5</v>
      </c>
      <c r="L25" s="4" t="s">
        <v>253</v>
      </c>
      <c r="M25" s="4" t="s">
        <v>318</v>
      </c>
      <c r="N25" s="4" t="s">
        <v>319</v>
      </c>
      <c r="O25" s="4" t="s">
        <v>103</v>
      </c>
      <c r="P25" s="4" t="s">
        <v>103</v>
      </c>
      <c r="Q25" s="4" t="s">
        <v>320</v>
      </c>
      <c r="R25" s="4" t="s">
        <v>321</v>
      </c>
      <c r="S25" s="4" t="s">
        <v>322</v>
      </c>
      <c r="T25" s="4" t="s">
        <v>323</v>
      </c>
      <c r="U25" s="4" t="s">
        <v>324</v>
      </c>
      <c r="V25" s="4" t="s">
        <v>325</v>
      </c>
      <c r="W25" s="4" t="s">
        <v>148</v>
      </c>
      <c r="X25" s="4" t="s">
        <v>40</v>
      </c>
    </row>
    <row r="26" spans="1:24" ht="28">
      <c r="A26" s="4" t="s">
        <v>326</v>
      </c>
      <c r="B26" s="4" t="s">
        <v>25</v>
      </c>
      <c r="C26" s="4" t="s">
        <v>327</v>
      </c>
      <c r="D26" s="4" t="s">
        <v>252</v>
      </c>
      <c r="E26" s="5">
        <v>6.5</v>
      </c>
      <c r="F26" s="5">
        <v>8.3000000000000007</v>
      </c>
      <c r="G26" s="5">
        <v>6.6</v>
      </c>
      <c r="H26" s="5">
        <v>7.8</v>
      </c>
      <c r="I26" s="5">
        <v>7.4</v>
      </c>
      <c r="J26" s="5">
        <v>4.5</v>
      </c>
      <c r="K26" s="5">
        <f t="shared" si="0"/>
        <v>72.5</v>
      </c>
      <c r="L26" s="4" t="s">
        <v>253</v>
      </c>
      <c r="M26" s="4" t="s">
        <v>328</v>
      </c>
      <c r="N26" s="4" t="s">
        <v>309</v>
      </c>
      <c r="O26" s="4" t="s">
        <v>103</v>
      </c>
      <c r="P26" s="4" t="s">
        <v>103</v>
      </c>
      <c r="Q26" s="4" t="s">
        <v>329</v>
      </c>
      <c r="R26" s="4" t="s">
        <v>330</v>
      </c>
      <c r="S26" s="4" t="s">
        <v>331</v>
      </c>
      <c r="T26" s="4" t="s">
        <v>332</v>
      </c>
      <c r="U26" s="4" t="s">
        <v>333</v>
      </c>
      <c r="V26" s="4" t="s">
        <v>334</v>
      </c>
      <c r="W26" s="4" t="s">
        <v>71</v>
      </c>
      <c r="X26" s="4" t="s">
        <v>40</v>
      </c>
    </row>
    <row r="27" spans="1:24" ht="42">
      <c r="A27" s="4" t="s">
        <v>335</v>
      </c>
      <c r="B27" s="4" t="s">
        <v>25</v>
      </c>
      <c r="C27" s="4" t="s">
        <v>336</v>
      </c>
      <c r="D27" s="4" t="s">
        <v>317</v>
      </c>
      <c r="E27" s="5">
        <v>6.7</v>
      </c>
      <c r="F27" s="5">
        <v>8.5</v>
      </c>
      <c r="G27" s="5">
        <v>7</v>
      </c>
      <c r="H27" s="5">
        <v>7.1</v>
      </c>
      <c r="I27" s="5">
        <v>7.2</v>
      </c>
      <c r="J27" s="5">
        <v>5</v>
      </c>
      <c r="K27" s="5">
        <f t="shared" si="0"/>
        <v>72.5</v>
      </c>
      <c r="L27" s="4" t="s">
        <v>253</v>
      </c>
      <c r="M27" s="4" t="s">
        <v>337</v>
      </c>
      <c r="N27" s="4" t="s">
        <v>309</v>
      </c>
      <c r="O27" s="4" t="s">
        <v>103</v>
      </c>
      <c r="P27" s="4" t="s">
        <v>103</v>
      </c>
      <c r="Q27" s="4" t="s">
        <v>338</v>
      </c>
      <c r="R27" s="4" t="s">
        <v>339</v>
      </c>
      <c r="S27" s="4" t="s">
        <v>340</v>
      </c>
      <c r="T27" s="4" t="s">
        <v>341</v>
      </c>
      <c r="U27" s="4" t="s">
        <v>342</v>
      </c>
      <c r="V27" s="4" t="s">
        <v>343</v>
      </c>
      <c r="W27" s="4" t="s">
        <v>223</v>
      </c>
      <c r="X27" s="4" t="s">
        <v>40</v>
      </c>
    </row>
    <row r="28" spans="1:24" ht="56">
      <c r="A28" s="4" t="s">
        <v>344</v>
      </c>
      <c r="B28" s="4" t="s">
        <v>25</v>
      </c>
      <c r="C28" s="4" t="s">
        <v>345</v>
      </c>
      <c r="D28" s="4" t="s">
        <v>346</v>
      </c>
      <c r="E28" s="5">
        <v>7.2</v>
      </c>
      <c r="F28" s="5">
        <v>7.4</v>
      </c>
      <c r="G28" s="5">
        <v>6.5</v>
      </c>
      <c r="H28" s="5">
        <v>6.8</v>
      </c>
      <c r="I28" s="5">
        <v>8</v>
      </c>
      <c r="J28" s="5">
        <v>5.5</v>
      </c>
      <c r="K28" s="5">
        <f t="shared" si="0"/>
        <v>70.7</v>
      </c>
      <c r="L28" s="4" t="s">
        <v>253</v>
      </c>
      <c r="M28" s="4" t="s">
        <v>347</v>
      </c>
      <c r="N28" s="4" t="s">
        <v>267</v>
      </c>
      <c r="O28" s="4" t="s">
        <v>348</v>
      </c>
      <c r="P28" s="4" t="s">
        <v>103</v>
      </c>
      <c r="Q28" s="4" t="s">
        <v>349</v>
      </c>
      <c r="R28" s="4" t="s">
        <v>117</v>
      </c>
      <c r="S28" s="4" t="s">
        <v>350</v>
      </c>
      <c r="T28" s="4" t="s">
        <v>351</v>
      </c>
      <c r="U28" s="4" t="s">
        <v>352</v>
      </c>
      <c r="V28" s="4" t="s">
        <v>353</v>
      </c>
      <c r="W28" s="4" t="s">
        <v>354</v>
      </c>
      <c r="X28" s="4" t="s">
        <v>355</v>
      </c>
    </row>
    <row r="29" spans="1:24" ht="42">
      <c r="A29" s="4" t="s">
        <v>356</v>
      </c>
      <c r="B29" s="4" t="s">
        <v>25</v>
      </c>
      <c r="C29" s="4" t="s">
        <v>357</v>
      </c>
      <c r="D29" s="4" t="s">
        <v>358</v>
      </c>
      <c r="E29" s="5">
        <v>6.5</v>
      </c>
      <c r="F29" s="5">
        <v>7.6</v>
      </c>
      <c r="G29" s="5">
        <v>6.8</v>
      </c>
      <c r="H29" s="5">
        <v>6.5</v>
      </c>
      <c r="I29" s="5">
        <v>8</v>
      </c>
      <c r="J29" s="5">
        <v>6.8</v>
      </c>
      <c r="K29" s="5">
        <f t="shared" si="0"/>
        <v>68.8</v>
      </c>
      <c r="L29" s="4" t="s">
        <v>286</v>
      </c>
      <c r="M29" s="4" t="s">
        <v>359</v>
      </c>
      <c r="N29" s="4" t="s">
        <v>288</v>
      </c>
      <c r="O29" s="4" t="s">
        <v>103</v>
      </c>
      <c r="P29" s="4" t="s">
        <v>103</v>
      </c>
      <c r="Q29" s="4" t="s">
        <v>360</v>
      </c>
      <c r="R29" s="4" t="s">
        <v>218</v>
      </c>
      <c r="S29" s="4" t="s">
        <v>361</v>
      </c>
      <c r="T29" s="4" t="s">
        <v>362</v>
      </c>
      <c r="U29" s="4" t="s">
        <v>363</v>
      </c>
      <c r="V29" s="4" t="s">
        <v>364</v>
      </c>
      <c r="W29" s="4" t="s">
        <v>365</v>
      </c>
      <c r="X29" s="4" t="s">
        <v>249</v>
      </c>
    </row>
    <row r="30" spans="1:24" ht="42">
      <c r="A30" s="4" t="s">
        <v>366</v>
      </c>
      <c r="B30" s="4" t="s">
        <v>25</v>
      </c>
      <c r="C30" s="4" t="s">
        <v>367</v>
      </c>
      <c r="D30" s="4" t="s">
        <v>368</v>
      </c>
      <c r="E30" s="5">
        <v>6.8</v>
      </c>
      <c r="F30" s="5">
        <v>7.8</v>
      </c>
      <c r="G30" s="5">
        <v>6.5</v>
      </c>
      <c r="H30" s="5">
        <v>6</v>
      </c>
      <c r="I30" s="5">
        <v>7.6</v>
      </c>
      <c r="J30" s="5">
        <v>6.5</v>
      </c>
      <c r="K30" s="5">
        <f t="shared" si="0"/>
        <v>68.400000000000006</v>
      </c>
      <c r="L30" s="4" t="s">
        <v>286</v>
      </c>
      <c r="M30" s="4" t="s">
        <v>369</v>
      </c>
      <c r="N30" s="4" t="s">
        <v>298</v>
      </c>
      <c r="O30" s="4" t="s">
        <v>256</v>
      </c>
      <c r="P30" s="4" t="s">
        <v>154</v>
      </c>
      <c r="Q30" s="4" t="s">
        <v>370</v>
      </c>
      <c r="R30" s="4" t="s">
        <v>117</v>
      </c>
      <c r="S30" s="4" t="s">
        <v>371</v>
      </c>
      <c r="T30" s="4" t="s">
        <v>372</v>
      </c>
      <c r="U30" s="4" t="s">
        <v>373</v>
      </c>
      <c r="V30" s="4" t="s">
        <v>374</v>
      </c>
      <c r="W30" s="4" t="s">
        <v>355</v>
      </c>
      <c r="X30" s="4" t="s">
        <v>147</v>
      </c>
    </row>
    <row r="31" spans="1:24" ht="42">
      <c r="A31" s="4" t="s">
        <v>375</v>
      </c>
      <c r="B31" s="4" t="s">
        <v>25</v>
      </c>
      <c r="C31" s="4" t="s">
        <v>376</v>
      </c>
      <c r="D31" s="4" t="s">
        <v>317</v>
      </c>
      <c r="E31" s="5">
        <v>6.9</v>
      </c>
      <c r="F31" s="5">
        <v>8</v>
      </c>
      <c r="G31" s="5">
        <v>6.3</v>
      </c>
      <c r="H31" s="5">
        <v>6</v>
      </c>
      <c r="I31" s="5">
        <v>7.6</v>
      </c>
      <c r="J31" s="5">
        <v>6</v>
      </c>
      <c r="K31" s="5">
        <f t="shared" si="0"/>
        <v>69.099999999999994</v>
      </c>
      <c r="L31" s="4" t="s">
        <v>286</v>
      </c>
      <c r="M31" s="4" t="s">
        <v>377</v>
      </c>
      <c r="N31" s="4" t="s">
        <v>298</v>
      </c>
      <c r="O31" s="4" t="s">
        <v>256</v>
      </c>
      <c r="P31" s="4" t="s">
        <v>140</v>
      </c>
      <c r="Q31" s="4" t="s">
        <v>290</v>
      </c>
      <c r="R31" s="4" t="s">
        <v>117</v>
      </c>
      <c r="S31" s="4" t="s">
        <v>378</v>
      </c>
      <c r="T31" s="4" t="s">
        <v>379</v>
      </c>
      <c r="U31" s="4" t="s">
        <v>380</v>
      </c>
      <c r="V31" s="4" t="s">
        <v>381</v>
      </c>
      <c r="W31" s="4" t="s">
        <v>355</v>
      </c>
      <c r="X31" s="4" t="s">
        <v>147</v>
      </c>
    </row>
    <row r="32" spans="1:24" ht="28">
      <c r="A32" s="4" t="s">
        <v>382</v>
      </c>
      <c r="B32" s="4" t="s">
        <v>25</v>
      </c>
      <c r="C32" s="4" t="s">
        <v>383</v>
      </c>
      <c r="D32" s="4" t="s">
        <v>307</v>
      </c>
      <c r="E32" s="5">
        <v>7</v>
      </c>
      <c r="F32" s="5">
        <v>8</v>
      </c>
      <c r="G32" s="5">
        <v>6.2</v>
      </c>
      <c r="H32" s="5">
        <v>7</v>
      </c>
      <c r="I32" s="5">
        <v>7.4</v>
      </c>
      <c r="J32" s="5">
        <v>5</v>
      </c>
      <c r="K32" s="5">
        <f t="shared" si="0"/>
        <v>70.900000000000006</v>
      </c>
      <c r="L32" s="4" t="s">
        <v>253</v>
      </c>
      <c r="M32" s="4" t="s">
        <v>384</v>
      </c>
      <c r="N32" s="4" t="s">
        <v>309</v>
      </c>
      <c r="O32" s="4" t="s">
        <v>103</v>
      </c>
      <c r="P32" s="4" t="s">
        <v>103</v>
      </c>
      <c r="Q32" s="4" t="s">
        <v>385</v>
      </c>
      <c r="R32" s="4" t="s">
        <v>117</v>
      </c>
      <c r="S32" s="4" t="s">
        <v>386</v>
      </c>
      <c r="T32" s="4" t="s">
        <v>387</v>
      </c>
      <c r="U32" s="4" t="s">
        <v>388</v>
      </c>
      <c r="V32" s="4" t="s">
        <v>389</v>
      </c>
      <c r="W32" s="4" t="s">
        <v>122</v>
      </c>
      <c r="X32" s="4" t="s">
        <v>304</v>
      </c>
    </row>
    <row r="33" spans="1:24" ht="42">
      <c r="A33" s="4" t="s">
        <v>390</v>
      </c>
      <c r="B33" s="4" t="s">
        <v>57</v>
      </c>
      <c r="C33" s="4" t="s">
        <v>391</v>
      </c>
      <c r="D33" s="4" t="s">
        <v>392</v>
      </c>
      <c r="E33" s="5">
        <v>7</v>
      </c>
      <c r="F33" s="5">
        <v>7.7</v>
      </c>
      <c r="G33" s="5">
        <v>8</v>
      </c>
      <c r="H33" s="5">
        <v>6.8</v>
      </c>
      <c r="I33" s="5">
        <v>7.6</v>
      </c>
      <c r="J33" s="5">
        <v>5.8</v>
      </c>
      <c r="K33" s="5">
        <f t="shared" si="0"/>
        <v>72.5</v>
      </c>
      <c r="L33" s="4" t="s">
        <v>286</v>
      </c>
      <c r="M33" s="4" t="s">
        <v>393</v>
      </c>
      <c r="N33" s="4" t="s">
        <v>298</v>
      </c>
      <c r="O33" s="4" t="s">
        <v>394</v>
      </c>
      <c r="P33" s="4" t="s">
        <v>204</v>
      </c>
      <c r="Q33" s="4" t="s">
        <v>395</v>
      </c>
      <c r="R33" s="4" t="s">
        <v>396</v>
      </c>
      <c r="S33" s="4" t="s">
        <v>397</v>
      </c>
      <c r="T33" s="4" t="s">
        <v>398</v>
      </c>
      <c r="U33" s="4" t="s">
        <v>399</v>
      </c>
      <c r="V33" s="4" t="s">
        <v>400</v>
      </c>
      <c r="W33" s="4" t="s">
        <v>148</v>
      </c>
      <c r="X33" s="4" t="s">
        <v>55</v>
      </c>
    </row>
    <row r="34" spans="1:24" ht="28">
      <c r="A34" s="4" t="s">
        <v>401</v>
      </c>
      <c r="B34" s="4" t="s">
        <v>25</v>
      </c>
      <c r="C34" s="4" t="s">
        <v>402</v>
      </c>
      <c r="D34" s="4" t="s">
        <v>392</v>
      </c>
      <c r="E34" s="5">
        <v>6.3</v>
      </c>
      <c r="F34" s="5">
        <v>7.7</v>
      </c>
      <c r="G34" s="5">
        <v>8.1999999999999993</v>
      </c>
      <c r="H34" s="5">
        <v>6.8</v>
      </c>
      <c r="I34" s="5">
        <v>7.2</v>
      </c>
      <c r="J34" s="5">
        <v>5.5</v>
      </c>
      <c r="K34" s="5">
        <f t="shared" si="0"/>
        <v>70.599999999999994</v>
      </c>
      <c r="L34" s="4" t="s">
        <v>286</v>
      </c>
      <c r="M34" s="4" t="s">
        <v>403</v>
      </c>
      <c r="N34" s="4" t="s">
        <v>298</v>
      </c>
      <c r="O34" s="4" t="s">
        <v>103</v>
      </c>
      <c r="P34" s="4" t="s">
        <v>103</v>
      </c>
      <c r="Q34" s="4" t="s">
        <v>404</v>
      </c>
      <c r="R34" s="4" t="s">
        <v>405</v>
      </c>
      <c r="S34" s="4" t="s">
        <v>406</v>
      </c>
      <c r="T34" s="4" t="s">
        <v>407</v>
      </c>
      <c r="U34" s="4" t="s">
        <v>408</v>
      </c>
      <c r="V34" s="4" t="s">
        <v>409</v>
      </c>
      <c r="W34" s="4" t="s">
        <v>148</v>
      </c>
      <c r="X34" s="4" t="s">
        <v>40</v>
      </c>
    </row>
    <row r="35" spans="1:24" ht="42">
      <c r="A35" s="4" t="s">
        <v>410</v>
      </c>
      <c r="B35" s="4" t="s">
        <v>25</v>
      </c>
      <c r="C35" s="4" t="s">
        <v>411</v>
      </c>
      <c r="D35" s="4" t="s">
        <v>412</v>
      </c>
      <c r="E35" s="5">
        <v>5.4</v>
      </c>
      <c r="F35" s="5">
        <v>7</v>
      </c>
      <c r="G35" s="5">
        <v>5.8</v>
      </c>
      <c r="H35" s="5">
        <v>4.5</v>
      </c>
      <c r="I35" s="5">
        <v>7</v>
      </c>
      <c r="J35" s="5">
        <v>7.5</v>
      </c>
      <c r="K35" s="5">
        <f t="shared" si="0"/>
        <v>58.2</v>
      </c>
      <c r="L35" s="4" t="s">
        <v>413</v>
      </c>
      <c r="M35" s="4" t="s">
        <v>414</v>
      </c>
      <c r="N35" s="4" t="s">
        <v>415</v>
      </c>
      <c r="O35" s="4" t="s">
        <v>103</v>
      </c>
      <c r="P35" s="4" t="s">
        <v>416</v>
      </c>
      <c r="Q35" s="4" t="s">
        <v>417</v>
      </c>
      <c r="R35" s="4" t="s">
        <v>117</v>
      </c>
      <c r="S35" s="4" t="s">
        <v>418</v>
      </c>
      <c r="T35" s="4" t="s">
        <v>419</v>
      </c>
      <c r="U35" s="4" t="s">
        <v>420</v>
      </c>
      <c r="V35" s="4" t="s">
        <v>421</v>
      </c>
      <c r="W35" s="4" t="s">
        <v>147</v>
      </c>
      <c r="X35" s="4" t="s">
        <v>40</v>
      </c>
    </row>
    <row r="36" spans="1:24" ht="42">
      <c r="A36" s="4" t="s">
        <v>422</v>
      </c>
      <c r="B36" s="4" t="s">
        <v>25</v>
      </c>
      <c r="C36" s="4" t="s">
        <v>423</v>
      </c>
      <c r="D36" s="4" t="s">
        <v>392</v>
      </c>
      <c r="E36" s="5">
        <v>7.8</v>
      </c>
      <c r="F36" s="5">
        <v>7.4</v>
      </c>
      <c r="G36" s="5">
        <v>5.7</v>
      </c>
      <c r="H36" s="5">
        <v>7.2</v>
      </c>
      <c r="I36" s="5">
        <v>7.6</v>
      </c>
      <c r="J36" s="5">
        <v>5.2</v>
      </c>
      <c r="K36" s="5">
        <f t="shared" si="0"/>
        <v>71.2</v>
      </c>
      <c r="L36" s="4" t="s">
        <v>253</v>
      </c>
      <c r="M36" s="4" t="s">
        <v>424</v>
      </c>
      <c r="N36" s="4" t="s">
        <v>309</v>
      </c>
      <c r="O36" s="4" t="s">
        <v>425</v>
      </c>
      <c r="P36" s="4" t="s">
        <v>64</v>
      </c>
      <c r="Q36" s="4" t="s">
        <v>426</v>
      </c>
      <c r="R36" s="4" t="s">
        <v>117</v>
      </c>
      <c r="S36" s="4" t="s">
        <v>427</v>
      </c>
      <c r="T36" s="4" t="s">
        <v>428</v>
      </c>
      <c r="U36" s="4" t="s">
        <v>429</v>
      </c>
      <c r="V36" s="4" t="s">
        <v>430</v>
      </c>
      <c r="W36" s="4" t="s">
        <v>55</v>
      </c>
      <c r="X36" s="4" t="s">
        <v>304</v>
      </c>
    </row>
    <row r="37" spans="1:24" ht="56">
      <c r="A37" s="4" t="s">
        <v>431</v>
      </c>
      <c r="B37" s="4" t="s">
        <v>25</v>
      </c>
      <c r="C37" s="4" t="s">
        <v>432</v>
      </c>
      <c r="D37" s="4" t="s">
        <v>412</v>
      </c>
      <c r="E37" s="5">
        <v>7.4</v>
      </c>
      <c r="F37" s="5">
        <v>7.2</v>
      </c>
      <c r="G37" s="5">
        <v>5.5</v>
      </c>
      <c r="H37" s="5">
        <v>6.5</v>
      </c>
      <c r="I37" s="5">
        <v>8</v>
      </c>
      <c r="J37" s="5">
        <v>6</v>
      </c>
      <c r="K37" s="5">
        <f t="shared" si="0"/>
        <v>68.5</v>
      </c>
      <c r="L37" s="4" t="s">
        <v>286</v>
      </c>
      <c r="M37" s="4" t="s">
        <v>433</v>
      </c>
      <c r="N37" s="4" t="s">
        <v>288</v>
      </c>
      <c r="O37" s="4" t="s">
        <v>103</v>
      </c>
      <c r="P37" s="4" t="s">
        <v>204</v>
      </c>
      <c r="Q37" s="4" t="s">
        <v>434</v>
      </c>
      <c r="R37" s="4" t="s">
        <v>117</v>
      </c>
      <c r="S37" s="4" t="s">
        <v>435</v>
      </c>
      <c r="T37" s="4" t="s">
        <v>436</v>
      </c>
      <c r="U37" s="4" t="s">
        <v>437</v>
      </c>
      <c r="V37" s="4" t="s">
        <v>438</v>
      </c>
      <c r="W37" s="4" t="s">
        <v>133</v>
      </c>
      <c r="X37" s="4" t="s">
        <v>132</v>
      </c>
    </row>
    <row r="38" spans="1:24" ht="42">
      <c r="A38" s="4" t="s">
        <v>439</v>
      </c>
      <c r="B38" s="4" t="s">
        <v>57</v>
      </c>
      <c r="C38" s="4" t="s">
        <v>440</v>
      </c>
      <c r="D38" s="4" t="s">
        <v>412</v>
      </c>
      <c r="E38" s="5">
        <v>7</v>
      </c>
      <c r="F38" s="5">
        <v>7.2</v>
      </c>
      <c r="G38" s="5">
        <v>5.5</v>
      </c>
      <c r="H38" s="5">
        <v>6.8</v>
      </c>
      <c r="I38" s="5">
        <v>7.8</v>
      </c>
      <c r="J38" s="5">
        <v>5.8</v>
      </c>
      <c r="K38" s="5">
        <f t="shared" si="0"/>
        <v>67.8</v>
      </c>
      <c r="L38" s="4" t="s">
        <v>286</v>
      </c>
      <c r="M38" s="4" t="s">
        <v>424</v>
      </c>
      <c r="N38" s="4" t="s">
        <v>298</v>
      </c>
      <c r="O38" s="4" t="s">
        <v>441</v>
      </c>
      <c r="P38" s="4" t="s">
        <v>242</v>
      </c>
      <c r="Q38" s="4" t="s">
        <v>442</v>
      </c>
      <c r="R38" s="4" t="s">
        <v>117</v>
      </c>
      <c r="S38" s="4" t="s">
        <v>443</v>
      </c>
      <c r="T38" s="4" t="s">
        <v>444</v>
      </c>
      <c r="U38" s="4" t="s">
        <v>445</v>
      </c>
      <c r="V38" s="4" t="s">
        <v>446</v>
      </c>
      <c r="W38" s="4" t="s">
        <v>248</v>
      </c>
      <c r="X38" s="4" t="s">
        <v>249</v>
      </c>
    </row>
    <row r="39" spans="1:24" ht="28">
      <c r="A39" s="4" t="s">
        <v>447</v>
      </c>
      <c r="B39" s="4" t="s">
        <v>25</v>
      </c>
      <c r="C39" s="4" t="s">
        <v>448</v>
      </c>
      <c r="D39" s="4" t="s">
        <v>392</v>
      </c>
      <c r="E39" s="5">
        <v>6.4</v>
      </c>
      <c r="F39" s="5">
        <v>7.2</v>
      </c>
      <c r="G39" s="5">
        <v>5.8</v>
      </c>
      <c r="H39" s="5">
        <v>5.6</v>
      </c>
      <c r="I39" s="5">
        <v>8</v>
      </c>
      <c r="J39" s="5">
        <v>6.8</v>
      </c>
      <c r="K39" s="5">
        <f t="shared" si="0"/>
        <v>64.7</v>
      </c>
      <c r="L39" s="4" t="s">
        <v>286</v>
      </c>
      <c r="M39" s="4" t="s">
        <v>449</v>
      </c>
      <c r="N39" s="4" t="s">
        <v>288</v>
      </c>
      <c r="O39" s="4" t="s">
        <v>256</v>
      </c>
      <c r="P39" s="4" t="s">
        <v>169</v>
      </c>
      <c r="Q39" s="4" t="s">
        <v>450</v>
      </c>
      <c r="R39" s="4" t="s">
        <v>117</v>
      </c>
      <c r="S39" s="4" t="s">
        <v>451</v>
      </c>
      <c r="T39" s="4" t="s">
        <v>452</v>
      </c>
      <c r="U39" s="4" t="s">
        <v>453</v>
      </c>
      <c r="V39" s="4" t="s">
        <v>454</v>
      </c>
      <c r="W39" s="4" t="s">
        <v>163</v>
      </c>
      <c r="X39" s="4" t="s">
        <v>40</v>
      </c>
    </row>
  </sheetData>
  <conditionalFormatting sqref="E2:J39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conditionalFormatting sqref="J2:J39">
    <cfRule type="colorScale" priority="3">
      <colorScale>
        <cfvo type="min"/>
        <cfvo type="percentile" val="50"/>
        <cfvo type="max"/>
        <color rgb="FFDCFCE7"/>
        <color rgb="FFFEF3C7"/>
        <color rgb="FFFECACA"/>
      </colorScale>
    </cfRule>
  </conditionalFormatting>
  <conditionalFormatting sqref="K2:K39">
    <cfRule type="colorScale" priority="2">
      <colorScale>
        <cfvo type="min"/>
        <cfvo type="percentile" val="50"/>
        <cfvo type="max"/>
        <color rgb="FFFECACA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"/>
  <sheetViews>
    <sheetView workbookViewId="0">
      <selection activeCell="A32" sqref="A32"/>
    </sheetView>
  </sheetViews>
  <sheetFormatPr defaultRowHeight="14"/>
  <cols>
    <col min="1" max="1" width="24" customWidth="1"/>
    <col min="2" max="5" width="18" customWidth="1"/>
    <col min="6" max="8" width="20" customWidth="1"/>
  </cols>
  <sheetData>
    <row r="1" spans="1:8" ht="18.649999999999999" customHeight="1">
      <c r="A1" s="13" t="s">
        <v>455</v>
      </c>
      <c r="B1" s="14"/>
      <c r="C1" s="14"/>
      <c r="D1" s="14"/>
      <c r="E1" s="14"/>
      <c r="F1" s="14"/>
      <c r="G1" s="14"/>
      <c r="H1" s="14"/>
    </row>
    <row r="2" spans="1:8" ht="14.5">
      <c r="A2" s="15" t="s">
        <v>456</v>
      </c>
      <c r="B2" s="14"/>
      <c r="C2" s="14"/>
      <c r="D2" s="14"/>
      <c r="E2" s="14"/>
      <c r="F2" s="14"/>
      <c r="G2" s="14"/>
      <c r="H2" s="14"/>
    </row>
    <row r="3" spans="1:8">
      <c r="A3" s="6" t="s">
        <v>457</v>
      </c>
      <c r="B3" s="7" t="s">
        <v>390</v>
      </c>
      <c r="C3" s="2"/>
      <c r="D3" s="2"/>
      <c r="E3" s="2"/>
      <c r="F3" s="2"/>
      <c r="G3" s="2"/>
      <c r="H3" s="2"/>
    </row>
    <row r="4" spans="1:8">
      <c r="A4" s="2"/>
      <c r="B4" s="2"/>
      <c r="C4" s="2"/>
      <c r="D4" s="2"/>
      <c r="E4" s="2"/>
      <c r="F4" s="2"/>
      <c r="G4" s="2"/>
      <c r="H4" s="2"/>
    </row>
    <row r="5" spans="1:8" ht="20">
      <c r="A5" s="8" t="s">
        <v>10</v>
      </c>
      <c r="B5" s="9">
        <f>_xlfn.XLOOKUP($B$3,'Master Data'!$A$2:$A$39,'Master Data'!$K$2:$K$39,"")</f>
        <v>72.5</v>
      </c>
      <c r="C5" s="8" t="s">
        <v>11</v>
      </c>
      <c r="D5" s="10" t="str">
        <f>_xlfn.XLOOKUP($B$3,'Master Data'!$A$2:$A$39,'Master Data'!$L$2:$L$39,"")</f>
        <v>C+</v>
      </c>
      <c r="E5" s="8" t="s">
        <v>12</v>
      </c>
      <c r="F5" s="16" t="str">
        <f>_xlfn.XLOOKUP($B$3,'Master Data'!$A$2:$A$39,'Master Data'!$M$2:$M$39,"")</f>
        <v>Contrarian grinder</v>
      </c>
      <c r="G5" s="14"/>
      <c r="H5" s="14"/>
    </row>
    <row r="6" spans="1:8">
      <c r="A6" s="2"/>
      <c r="B6" s="2"/>
      <c r="C6" s="2"/>
      <c r="D6" s="2"/>
      <c r="E6" s="2"/>
      <c r="F6" s="2"/>
      <c r="G6" s="2"/>
      <c r="H6" s="2"/>
    </row>
    <row r="7" spans="1:8">
      <c r="A7" s="8" t="s">
        <v>1</v>
      </c>
      <c r="B7" s="2" t="str">
        <f>_xlfn.XLOOKUP($B$3,'Master Data'!$A$2:$A$39,'Master Data'!$B$2:$B$39,"")</f>
        <v>LIV</v>
      </c>
      <c r="C7" s="8" t="s">
        <v>2</v>
      </c>
      <c r="D7" s="2" t="str">
        <f>_xlfn.XLOOKUP($B$3,'Master Data'!$A$2:$A$39,'Master Data'!$C$2:$C$39,"")</f>
        <v>Short-Game Scrapper</v>
      </c>
      <c r="E7" s="8" t="s">
        <v>458</v>
      </c>
      <c r="F7" s="2" t="str">
        <f>_xlfn.XLOOKUP($B$3,'Master Data'!$A$2:$A$39,'Master Data'!$D$2:$D$39,"")</f>
        <v>+9000</v>
      </c>
      <c r="G7" s="2"/>
      <c r="H7" s="2"/>
    </row>
    <row r="8" spans="1:8">
      <c r="A8" s="2"/>
      <c r="B8" s="2"/>
      <c r="C8" s="2"/>
      <c r="D8" s="2"/>
      <c r="E8" s="2"/>
      <c r="F8" s="2"/>
      <c r="G8" s="2"/>
      <c r="H8" s="2"/>
    </row>
    <row r="9" spans="1:8" ht="28">
      <c r="A9" s="8" t="s">
        <v>13</v>
      </c>
      <c r="B9" s="2" t="str">
        <f>_xlfn.XLOOKUP($B$3,'Master Data'!$A$2:$A$39,'Master Data'!$N$2:$N$39,"")</f>
        <v>0 to +9</v>
      </c>
      <c r="C9" s="8" t="s">
        <v>14</v>
      </c>
      <c r="D9" s="2" t="str">
        <f>_xlfn.XLOOKUP($B$3,'Master Data'!$A$2:$A$39,'Master Data'!$O$2:$O$39,"")</f>
        <v>Made cut / around top 10</v>
      </c>
      <c r="E9" s="8" t="s">
        <v>15</v>
      </c>
      <c r="F9" s="2" t="str">
        <f>_xlfn.XLOOKUP($B$3,'Master Data'!$A$2:$A$39,'Master Data'!$P$2:$P$39,"")</f>
        <v>T10 (-3)</v>
      </c>
      <c r="G9" s="2"/>
      <c r="H9" s="2"/>
    </row>
    <row r="10" spans="1:8">
      <c r="A10" s="2"/>
      <c r="B10" s="2"/>
      <c r="C10" s="2"/>
      <c r="D10" s="2"/>
      <c r="E10" s="2"/>
      <c r="F10" s="2"/>
      <c r="G10" s="2"/>
      <c r="H10" s="2"/>
    </row>
    <row r="11" spans="1:8">
      <c r="A11" s="8" t="s">
        <v>4</v>
      </c>
      <c r="B11" s="2">
        <f>_xlfn.XLOOKUP($B$3,'Master Data'!$A$2:$A$39,'Master Data'!$E$2:$E$39,"")</f>
        <v>7</v>
      </c>
      <c r="C11" s="8" t="s">
        <v>5</v>
      </c>
      <c r="D11" s="2">
        <f>_xlfn.XLOOKUP($B$3,'Master Data'!$A$2:$A$39,'Master Data'!$F$2:$F$39,"")</f>
        <v>7.7</v>
      </c>
      <c r="E11" s="8" t="s">
        <v>7</v>
      </c>
      <c r="F11" s="2">
        <f>_xlfn.XLOOKUP($B$3,'Master Data'!$A$2:$A$39,'Master Data'!$H$2:$H$39,"")</f>
        <v>6.8</v>
      </c>
      <c r="G11" s="2"/>
      <c r="H11" s="2"/>
    </row>
    <row r="12" spans="1:8">
      <c r="A12" s="2"/>
      <c r="B12" s="2"/>
      <c r="C12" s="2"/>
      <c r="D12" s="2"/>
      <c r="E12" s="2"/>
      <c r="F12" s="2"/>
      <c r="G12" s="2"/>
      <c r="H12" s="2"/>
    </row>
    <row r="13" spans="1:8" ht="30.5" customHeight="1">
      <c r="A13" s="8" t="s">
        <v>17</v>
      </c>
      <c r="B13" s="14" t="str">
        <f>_xlfn.XLOOKUP($B$3,'Master Data'!$A$2:$A$39,'Master Data'!$R$2:$R$39,"")</f>
        <v>2018 Shinnecock 4th</v>
      </c>
      <c r="C13" s="14"/>
      <c r="D13" s="14"/>
      <c r="E13" s="14"/>
      <c r="F13" s="14"/>
      <c r="G13" s="14"/>
      <c r="H13" s="14"/>
    </row>
    <row r="14" spans="1:8" ht="21.4" customHeight="1">
      <c r="A14" s="2"/>
      <c r="B14" s="14"/>
      <c r="C14" s="14"/>
      <c r="D14" s="14"/>
      <c r="E14" s="14"/>
      <c r="F14" s="14"/>
      <c r="G14" s="14"/>
      <c r="H14" s="14"/>
    </row>
    <row r="15" spans="1:8">
      <c r="A15" s="2"/>
      <c r="B15" s="2"/>
      <c r="C15" s="2"/>
      <c r="D15" s="2"/>
      <c r="E15" s="2"/>
      <c r="F15" s="2"/>
      <c r="G15" s="2"/>
      <c r="H15" s="2"/>
    </row>
    <row r="16" spans="1:8" ht="21.4" customHeight="1">
      <c r="A16" s="8" t="s">
        <v>18</v>
      </c>
      <c r="B16" s="14" t="str">
        <f>_xlfn.XLOOKUP($B$3,'Master Data'!$A$2:$A$39,'Master Data'!$S$2:$S$39,"")</f>
        <v>Elite 2018 Shinnecock result; PGA top 10</v>
      </c>
      <c r="C16" s="14"/>
      <c r="D16" s="14"/>
      <c r="E16" s="14"/>
      <c r="F16" s="14"/>
      <c r="G16" s="14"/>
      <c r="H16" s="14"/>
    </row>
    <row r="17" spans="1:8" ht="21.4" customHeight="1">
      <c r="A17" s="2"/>
      <c r="B17" s="14"/>
      <c r="C17" s="14"/>
      <c r="D17" s="14"/>
      <c r="E17" s="14"/>
      <c r="F17" s="14"/>
      <c r="G17" s="14"/>
      <c r="H17" s="14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 ht="21.4" customHeight="1">
      <c r="A19" s="8" t="s">
        <v>19</v>
      </c>
      <c r="B19" s="17" t="str">
        <f>_xlfn.XLOOKUP($B$3,'Master Data'!$A$2:$A$39,'Master Data'!$T$2:$T$39,"")</f>
        <v>Reed’s short game and past Shinnecock result make him dangerous if scoring gets ugly.</v>
      </c>
      <c r="C19" s="17"/>
      <c r="D19" s="17"/>
      <c r="E19" s="17"/>
      <c r="F19" s="17"/>
      <c r="G19" s="17"/>
      <c r="H19" s="17"/>
    </row>
    <row r="20" spans="1:8" ht="21.4" customHeight="1">
      <c r="A20" s="2"/>
      <c r="B20" s="17"/>
      <c r="C20" s="17"/>
      <c r="D20" s="17"/>
      <c r="E20" s="17"/>
      <c r="F20" s="17"/>
      <c r="G20" s="17"/>
      <c r="H20" s="17"/>
    </row>
    <row r="21" spans="1:8" ht="21.4" customHeight="1">
      <c r="A21" s="2"/>
      <c r="B21" s="17"/>
      <c r="C21" s="17"/>
      <c r="D21" s="17"/>
      <c r="E21" s="17"/>
      <c r="F21" s="17"/>
      <c r="G21" s="17"/>
      <c r="H21" s="17"/>
    </row>
    <row r="22" spans="1:8">
      <c r="A22" s="2"/>
      <c r="B22" s="2"/>
      <c r="C22" s="2"/>
      <c r="D22" s="2"/>
      <c r="E22" s="2"/>
      <c r="F22" s="2"/>
      <c r="G22" s="2"/>
      <c r="H22" s="2"/>
    </row>
    <row r="23" spans="1:8" ht="21.4" customHeight="1">
      <c r="A23" s="8" t="s">
        <v>20</v>
      </c>
      <c r="B23" s="18" t="str">
        <f>_xlfn.XLOOKUP($B$3,'Master Data'!$A$2:$A$39,'Master Data'!$U$2:$U$39,"")</f>
        <v>Ball-striking consistency and LIV comparability lower confidence.</v>
      </c>
      <c r="C23" s="18"/>
      <c r="D23" s="18"/>
      <c r="E23" s="18"/>
      <c r="F23" s="18"/>
      <c r="G23" s="18"/>
      <c r="H23" s="18"/>
    </row>
    <row r="24" spans="1:8" ht="21.4" customHeight="1">
      <c r="A24" s="2"/>
      <c r="B24" s="18"/>
      <c r="C24" s="18"/>
      <c r="D24" s="18"/>
      <c r="E24" s="18"/>
      <c r="F24" s="18"/>
      <c r="G24" s="18"/>
      <c r="H24" s="18"/>
    </row>
    <row r="25" spans="1:8" ht="21.4" customHeight="1">
      <c r="A25" s="2"/>
      <c r="B25" s="18"/>
      <c r="C25" s="18"/>
      <c r="D25" s="18"/>
      <c r="E25" s="18"/>
      <c r="F25" s="18"/>
      <c r="G25" s="18"/>
      <c r="H25" s="18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 ht="21.4" customHeight="1">
      <c r="A27" s="8" t="s">
        <v>16</v>
      </c>
      <c r="B27" s="19" t="str">
        <f>_xlfn.XLOOKUP($B$3,'Master Data'!$A$2:$A$39,'Master Data'!$Q$2:$Q$39,"")</f>
        <v>No MC issue, but week-to-week LIV data limited</v>
      </c>
      <c r="C27" s="19"/>
      <c r="D27" s="19"/>
      <c r="E27" s="19"/>
      <c r="F27" s="19"/>
      <c r="G27" s="19"/>
      <c r="H27" s="19"/>
    </row>
    <row r="28" spans="1:8" ht="21.4" customHeight="1">
      <c r="A28" s="2"/>
      <c r="B28" s="19"/>
      <c r="C28" s="19"/>
      <c r="D28" s="19"/>
      <c r="E28" s="19"/>
      <c r="F28" s="19"/>
      <c r="G28" s="19"/>
      <c r="H28" s="19"/>
    </row>
    <row r="29" spans="1:8" ht="21.4" customHeight="1">
      <c r="A29" s="2"/>
      <c r="B29" s="19"/>
      <c r="C29" s="19"/>
      <c r="D29" s="19"/>
      <c r="E29" s="19"/>
      <c r="F29" s="19"/>
      <c r="G29" s="19"/>
      <c r="H29" s="19"/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 ht="32" customHeight="1">
      <c r="A31" s="8" t="s">
        <v>21</v>
      </c>
      <c r="B31" s="20" t="str">
        <f>_xlfn.XLOOKUP($B$3,'Master Data'!$A$2:$A$39,'Master Data'!$V$2:$V$39,"")</f>
        <v>Useful if ignored in pool.</v>
      </c>
      <c r="C31" s="20"/>
      <c r="D31" s="20"/>
      <c r="E31" s="20"/>
      <c r="F31" s="20"/>
      <c r="G31" s="20"/>
      <c r="H31" s="20"/>
    </row>
    <row r="32" spans="1:8" ht="21.4" customHeight="1">
      <c r="A32" s="2"/>
      <c r="B32" s="20"/>
      <c r="C32" s="20"/>
      <c r="D32" s="20"/>
      <c r="E32" s="20"/>
      <c r="F32" s="20"/>
      <c r="G32" s="20"/>
      <c r="H32" s="20"/>
    </row>
    <row r="33" spans="1:8" ht="21.4" customHeight="1">
      <c r="A33" s="2"/>
      <c r="B33" s="20"/>
      <c r="C33" s="20"/>
      <c r="D33" s="20"/>
      <c r="E33" s="20"/>
      <c r="F33" s="20"/>
      <c r="G33" s="20"/>
      <c r="H33" s="20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8" t="s">
        <v>22</v>
      </c>
      <c r="B35" s="14" t="str">
        <f>_xlfn.XLOOKUP($B$3,'Master Data'!$A$2:$A$39,'Master Data'!$W$2:$W$39,"")</f>
        <v>https://www.golfcompendium.com/2018/11/2018-us-open.html</v>
      </c>
      <c r="C35" s="14"/>
      <c r="D35" s="14"/>
      <c r="E35" s="14"/>
      <c r="F35" s="14"/>
      <c r="G35" s="14"/>
      <c r="H35" s="14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8" t="s">
        <v>23</v>
      </c>
      <c r="B37" s="14" t="str">
        <f>_xlfn.XLOOKUP($B$3,'Master Data'!$A$2:$A$39,'Master Data'!$X$2:$X$39,"")</f>
        <v>https://www.pgachampionship.com/news-media/articles/aaron-rai-wins-the-2026-pga-championship-at-aronimink</v>
      </c>
      <c r="C37" s="14"/>
      <c r="D37" s="14"/>
      <c r="E37" s="14"/>
      <c r="F37" s="14"/>
      <c r="G37" s="14"/>
      <c r="H37" s="14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</sheetData>
  <mergeCells count="11">
    <mergeCell ref="B37:H37"/>
    <mergeCell ref="B19:H21"/>
    <mergeCell ref="B23:H25"/>
    <mergeCell ref="B27:H29"/>
    <mergeCell ref="B31:H33"/>
    <mergeCell ref="B35:H35"/>
    <mergeCell ref="A1:H1"/>
    <mergeCell ref="A2:H2"/>
    <mergeCell ref="F5:H5"/>
    <mergeCell ref="B13:H14"/>
    <mergeCell ref="B16:H17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0000000}">
          <x14:formula1>
            <xm:f>'Master Data'!$A$2:$A$39</xm:f>
          </x14:formula1>
          <xm:sqref>B3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6"/>
  <sheetViews>
    <sheetView workbookViewId="0">
      <selection sqref="A1:H1"/>
    </sheetView>
  </sheetViews>
  <sheetFormatPr defaultRowHeight="14"/>
  <cols>
    <col min="1" max="1" width="24" customWidth="1"/>
    <col min="2" max="2" width="18" customWidth="1"/>
    <col min="3" max="3" width="16" customWidth="1"/>
    <col min="4" max="5" width="34" customWidth="1"/>
    <col min="6" max="8" width="32" customWidth="1"/>
  </cols>
  <sheetData>
    <row r="1" spans="1:8" ht="18.649999999999999" customHeight="1">
      <c r="A1" s="21" t="s">
        <v>459</v>
      </c>
      <c r="B1" s="22"/>
      <c r="C1" s="22"/>
      <c r="D1" s="22"/>
      <c r="E1" s="22"/>
      <c r="F1" s="22"/>
      <c r="G1" s="22"/>
      <c r="H1" s="22"/>
    </row>
    <row r="3" spans="1:8">
      <c r="A3" s="1" t="s">
        <v>460</v>
      </c>
      <c r="B3" s="1" t="s">
        <v>461</v>
      </c>
      <c r="C3" s="1" t="s">
        <v>462</v>
      </c>
      <c r="D3" s="1" t="s">
        <v>463</v>
      </c>
      <c r="E3" s="1" t="s">
        <v>464</v>
      </c>
      <c r="F3" s="1" t="s">
        <v>465</v>
      </c>
      <c r="G3" s="1" t="s">
        <v>466</v>
      </c>
      <c r="H3" s="1" t="s">
        <v>467</v>
      </c>
    </row>
    <row r="4" spans="1:8" ht="42">
      <c r="A4" s="11" t="s">
        <v>468</v>
      </c>
      <c r="B4" s="11" t="s">
        <v>469</v>
      </c>
      <c r="C4" s="11" t="s">
        <v>470</v>
      </c>
      <c r="D4" s="11" t="s">
        <v>471</v>
      </c>
      <c r="E4" s="11" t="s">
        <v>472</v>
      </c>
      <c r="F4" s="11" t="s">
        <v>473</v>
      </c>
      <c r="G4" s="11" t="s">
        <v>474</v>
      </c>
      <c r="H4" s="11" t="s">
        <v>475</v>
      </c>
    </row>
    <row r="6" spans="1:8">
      <c r="A6" s="1" t="s">
        <v>476</v>
      </c>
      <c r="B6" s="1" t="s">
        <v>0</v>
      </c>
      <c r="C6" s="1" t="s">
        <v>477</v>
      </c>
      <c r="D6" s="1" t="s">
        <v>478</v>
      </c>
      <c r="E6" s="1" t="s">
        <v>12</v>
      </c>
      <c r="F6" s="1" t="s">
        <v>479</v>
      </c>
      <c r="G6" s="1" t="s">
        <v>480</v>
      </c>
      <c r="H6" s="1" t="s">
        <v>481</v>
      </c>
    </row>
    <row r="7" spans="1:8" ht="56">
      <c r="A7" s="2">
        <v>1</v>
      </c>
      <c r="B7" s="2" t="s">
        <v>24</v>
      </c>
      <c r="C7" s="12">
        <v>90.6</v>
      </c>
      <c r="D7" s="2" t="s">
        <v>28</v>
      </c>
      <c r="E7" s="2" t="s">
        <v>29</v>
      </c>
      <c r="F7" s="2" t="s">
        <v>30</v>
      </c>
      <c r="G7" s="2" t="s">
        <v>36</v>
      </c>
      <c r="H7" s="2" t="s">
        <v>37</v>
      </c>
    </row>
    <row r="8" spans="1:8" ht="42">
      <c r="A8" s="2">
        <v>2</v>
      </c>
      <c r="B8" s="2" t="s">
        <v>72</v>
      </c>
      <c r="C8" s="12">
        <v>87.3</v>
      </c>
      <c r="D8" s="2" t="s">
        <v>43</v>
      </c>
      <c r="E8" s="2" t="s">
        <v>75</v>
      </c>
      <c r="F8" s="2" t="s">
        <v>76</v>
      </c>
      <c r="G8" s="2" t="s">
        <v>82</v>
      </c>
      <c r="H8" s="2" t="s">
        <v>83</v>
      </c>
    </row>
    <row r="9" spans="1:8" ht="42">
      <c r="A9" s="2">
        <v>3</v>
      </c>
      <c r="B9" s="2" t="s">
        <v>98</v>
      </c>
      <c r="C9" s="12">
        <v>87.2</v>
      </c>
      <c r="D9" s="2" t="s">
        <v>43</v>
      </c>
      <c r="E9" s="2" t="s">
        <v>101</v>
      </c>
      <c r="F9" s="2" t="s">
        <v>102</v>
      </c>
      <c r="G9" s="2" t="s">
        <v>108</v>
      </c>
      <c r="H9" s="2" t="s">
        <v>109</v>
      </c>
    </row>
    <row r="10" spans="1:8" ht="28">
      <c r="A10" s="2">
        <v>4</v>
      </c>
      <c r="B10" s="2" t="s">
        <v>87</v>
      </c>
      <c r="C10" s="12">
        <v>86.8</v>
      </c>
      <c r="D10" s="2" t="s">
        <v>43</v>
      </c>
      <c r="E10" s="2" t="s">
        <v>89</v>
      </c>
      <c r="F10" s="2" t="s">
        <v>62</v>
      </c>
      <c r="G10" s="2" t="s">
        <v>94</v>
      </c>
      <c r="H10" s="2" t="s">
        <v>95</v>
      </c>
    </row>
    <row r="11" spans="1:8" ht="42">
      <c r="A11" s="2">
        <v>5</v>
      </c>
      <c r="B11" s="2" t="s">
        <v>41</v>
      </c>
      <c r="C11" s="12">
        <v>85.3</v>
      </c>
      <c r="D11" s="2" t="s">
        <v>43</v>
      </c>
      <c r="E11" s="2" t="s">
        <v>44</v>
      </c>
      <c r="F11" s="2" t="s">
        <v>45</v>
      </c>
      <c r="G11" s="2" t="s">
        <v>51</v>
      </c>
      <c r="H11" s="2" t="s">
        <v>52</v>
      </c>
    </row>
    <row r="12" spans="1:8" ht="42">
      <c r="A12" s="2">
        <v>6</v>
      </c>
      <c r="B12" s="2" t="s">
        <v>56</v>
      </c>
      <c r="C12" s="12">
        <v>82.3</v>
      </c>
      <c r="D12" s="2" t="s">
        <v>60</v>
      </c>
      <c r="E12" s="2" t="s">
        <v>61</v>
      </c>
      <c r="F12" s="2" t="s">
        <v>62</v>
      </c>
      <c r="G12" s="2" t="s">
        <v>68</v>
      </c>
      <c r="H12" s="2" t="s">
        <v>69</v>
      </c>
    </row>
    <row r="13" spans="1:8" ht="42">
      <c r="A13" s="2">
        <v>7</v>
      </c>
      <c r="B13" s="2" t="s">
        <v>111</v>
      </c>
      <c r="C13" s="12">
        <v>81.900000000000006</v>
      </c>
      <c r="D13" s="2" t="s">
        <v>60</v>
      </c>
      <c r="E13" s="2" t="s">
        <v>114</v>
      </c>
      <c r="F13" s="2" t="s">
        <v>115</v>
      </c>
      <c r="G13" s="2" t="s">
        <v>119</v>
      </c>
      <c r="H13" s="2" t="s">
        <v>120</v>
      </c>
    </row>
    <row r="14" spans="1:8" ht="42">
      <c r="A14" s="2">
        <v>8</v>
      </c>
      <c r="B14" s="2" t="s">
        <v>134</v>
      </c>
      <c r="C14" s="12">
        <v>81.2</v>
      </c>
      <c r="D14" s="2" t="s">
        <v>136</v>
      </c>
      <c r="E14" s="2" t="s">
        <v>137</v>
      </c>
      <c r="F14" s="2" t="s">
        <v>138</v>
      </c>
      <c r="G14" s="2" t="s">
        <v>144</v>
      </c>
      <c r="H14" s="2" t="s">
        <v>145</v>
      </c>
    </row>
    <row r="15" spans="1:8" ht="42">
      <c r="A15" s="2">
        <v>9</v>
      </c>
      <c r="B15" s="2" t="s">
        <v>177</v>
      </c>
      <c r="C15" s="12">
        <v>81.2</v>
      </c>
      <c r="D15" s="2" t="s">
        <v>136</v>
      </c>
      <c r="E15" s="2" t="s">
        <v>180</v>
      </c>
      <c r="F15" s="2" t="s">
        <v>138</v>
      </c>
      <c r="G15" s="2" t="s">
        <v>184</v>
      </c>
      <c r="H15" s="2" t="s">
        <v>185</v>
      </c>
    </row>
    <row r="16" spans="1:8" ht="42">
      <c r="A16" s="2">
        <v>10</v>
      </c>
      <c r="B16" s="2" t="s">
        <v>200</v>
      </c>
      <c r="C16" s="12">
        <v>80.5</v>
      </c>
      <c r="D16" s="2" t="s">
        <v>136</v>
      </c>
      <c r="E16" s="2" t="s">
        <v>202</v>
      </c>
      <c r="F16" s="2" t="s">
        <v>203</v>
      </c>
      <c r="G16" s="2" t="s">
        <v>208</v>
      </c>
      <c r="H16" s="2" t="s">
        <v>209</v>
      </c>
    </row>
    <row r="17" spans="1:8" ht="42">
      <c r="A17" s="2">
        <v>11</v>
      </c>
      <c r="B17" s="2" t="s">
        <v>164</v>
      </c>
      <c r="C17" s="12">
        <v>80.2</v>
      </c>
      <c r="D17" s="2" t="s">
        <v>136</v>
      </c>
      <c r="E17" s="2" t="s">
        <v>167</v>
      </c>
      <c r="F17" s="2" t="s">
        <v>168</v>
      </c>
      <c r="G17" s="2" t="s">
        <v>173</v>
      </c>
      <c r="H17" s="2" t="s">
        <v>174</v>
      </c>
    </row>
    <row r="18" spans="1:8" ht="42">
      <c r="A18" s="2">
        <v>12</v>
      </c>
      <c r="B18" s="2" t="s">
        <v>123</v>
      </c>
      <c r="C18" s="12">
        <v>79.900000000000006</v>
      </c>
      <c r="D18" s="2" t="s">
        <v>60</v>
      </c>
      <c r="E18" s="2" t="s">
        <v>124</v>
      </c>
      <c r="F18" s="2" t="s">
        <v>125</v>
      </c>
      <c r="G18" s="2" t="s">
        <v>129</v>
      </c>
      <c r="H18" s="2" t="s">
        <v>130</v>
      </c>
    </row>
    <row r="19" spans="1:8" ht="42">
      <c r="A19" s="2">
        <v>13</v>
      </c>
      <c r="B19" s="2" t="s">
        <v>224</v>
      </c>
      <c r="C19" s="12">
        <v>78.099999999999994</v>
      </c>
      <c r="D19" s="2" t="s">
        <v>214</v>
      </c>
      <c r="E19" s="2" t="s">
        <v>227</v>
      </c>
      <c r="F19" s="2" t="s">
        <v>228</v>
      </c>
      <c r="G19" s="2" t="s">
        <v>232</v>
      </c>
      <c r="H19" s="2" t="s">
        <v>233</v>
      </c>
    </row>
    <row r="20" spans="1:8" ht="42">
      <c r="A20" s="2">
        <v>14</v>
      </c>
      <c r="B20" s="2" t="s">
        <v>188</v>
      </c>
      <c r="C20" s="12">
        <v>77.400000000000006</v>
      </c>
      <c r="D20" s="2" t="s">
        <v>136</v>
      </c>
      <c r="E20" s="2" t="s">
        <v>191</v>
      </c>
      <c r="F20" s="2" t="s">
        <v>192</v>
      </c>
      <c r="G20" s="2" t="s">
        <v>196</v>
      </c>
      <c r="H20" s="2" t="s">
        <v>197</v>
      </c>
    </row>
    <row r="21" spans="1:8" ht="42">
      <c r="A21" s="2">
        <v>15</v>
      </c>
      <c r="B21" s="2" t="s">
        <v>236</v>
      </c>
      <c r="C21" s="12">
        <v>74.900000000000006</v>
      </c>
      <c r="D21" s="2" t="s">
        <v>214</v>
      </c>
      <c r="E21" s="2" t="s">
        <v>239</v>
      </c>
      <c r="F21" s="2" t="s">
        <v>240</v>
      </c>
      <c r="G21" s="2" t="s">
        <v>245</v>
      </c>
      <c r="H21" s="2" t="s">
        <v>246</v>
      </c>
    </row>
    <row r="22" spans="1:8" ht="42">
      <c r="A22" s="2">
        <v>16</v>
      </c>
      <c r="B22" s="2" t="s">
        <v>211</v>
      </c>
      <c r="C22" s="12">
        <v>74.8</v>
      </c>
      <c r="D22" s="2" t="s">
        <v>214</v>
      </c>
      <c r="E22" s="2" t="s">
        <v>215</v>
      </c>
      <c r="F22" s="2" t="s">
        <v>216</v>
      </c>
      <c r="G22" s="2" t="s">
        <v>220</v>
      </c>
      <c r="H22" s="2" t="s">
        <v>221</v>
      </c>
    </row>
    <row r="23" spans="1:8" ht="42">
      <c r="A23" s="2">
        <v>17</v>
      </c>
      <c r="B23" s="2" t="s">
        <v>315</v>
      </c>
      <c r="C23" s="12">
        <v>74.5</v>
      </c>
      <c r="D23" s="2" t="s">
        <v>253</v>
      </c>
      <c r="E23" s="2" t="s">
        <v>318</v>
      </c>
      <c r="F23" s="2" t="s">
        <v>319</v>
      </c>
      <c r="G23" s="2" t="s">
        <v>323</v>
      </c>
      <c r="H23" s="2" t="s">
        <v>324</v>
      </c>
    </row>
    <row r="24" spans="1:8" ht="28">
      <c r="A24" s="2">
        <v>18</v>
      </c>
      <c r="B24" s="2" t="s">
        <v>326</v>
      </c>
      <c r="C24" s="12">
        <v>72.5</v>
      </c>
      <c r="D24" s="2" t="s">
        <v>253</v>
      </c>
      <c r="E24" s="2" t="s">
        <v>328</v>
      </c>
      <c r="F24" s="2" t="s">
        <v>309</v>
      </c>
      <c r="G24" s="2" t="s">
        <v>332</v>
      </c>
      <c r="H24" s="2" t="s">
        <v>333</v>
      </c>
    </row>
    <row r="25" spans="1:8" ht="28">
      <c r="A25" s="2">
        <v>19</v>
      </c>
      <c r="B25" s="2" t="s">
        <v>335</v>
      </c>
      <c r="C25" s="12">
        <v>72.400000000000006</v>
      </c>
      <c r="D25" s="2" t="s">
        <v>253</v>
      </c>
      <c r="E25" s="2" t="s">
        <v>337</v>
      </c>
      <c r="F25" s="2" t="s">
        <v>309</v>
      </c>
      <c r="G25" s="2" t="s">
        <v>341</v>
      </c>
      <c r="H25" s="2" t="s">
        <v>342</v>
      </c>
    </row>
    <row r="26" spans="1:8" ht="42">
      <c r="A26" s="2">
        <v>20</v>
      </c>
      <c r="B26" s="2" t="s">
        <v>390</v>
      </c>
      <c r="C26" s="12">
        <v>72.400000000000006</v>
      </c>
      <c r="D26" s="2" t="s">
        <v>286</v>
      </c>
      <c r="E26" s="2" t="s">
        <v>393</v>
      </c>
      <c r="F26" s="2" t="s">
        <v>298</v>
      </c>
      <c r="G26" s="2" t="s">
        <v>398</v>
      </c>
      <c r="H26" s="2" t="s">
        <v>399</v>
      </c>
    </row>
  </sheetData>
  <mergeCells count="1">
    <mergeCell ref="A1:H1"/>
  </mergeCells>
  <conditionalFormatting sqref="C7:C26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3"/>
  <sheetViews>
    <sheetView topLeftCell="A7" workbookViewId="0"/>
  </sheetViews>
  <sheetFormatPr defaultRowHeight="14"/>
  <cols>
    <col min="1" max="1" width="28" customWidth="1"/>
    <col min="2" max="2" width="70" customWidth="1"/>
    <col min="3" max="3" width="50" customWidth="1"/>
  </cols>
  <sheetData>
    <row r="1" spans="1:3" ht="18.649999999999999" customHeight="1">
      <c r="A1" s="1" t="s">
        <v>482</v>
      </c>
      <c r="B1" s="1" t="s">
        <v>483</v>
      </c>
      <c r="C1" s="2"/>
    </row>
    <row r="2" spans="1:3" ht="28">
      <c r="A2" s="2" t="s">
        <v>484</v>
      </c>
      <c r="B2" s="2" t="s">
        <v>485</v>
      </c>
      <c r="C2" s="2"/>
    </row>
    <row r="3" spans="1:3">
      <c r="A3" s="2" t="s">
        <v>486</v>
      </c>
      <c r="B3" s="2" t="s">
        <v>487</v>
      </c>
      <c r="C3" s="2"/>
    </row>
    <row r="4" spans="1:3" ht="28">
      <c r="A4" s="2" t="s">
        <v>488</v>
      </c>
      <c r="B4" s="2" t="s">
        <v>489</v>
      </c>
      <c r="C4" s="2"/>
    </row>
    <row r="5" spans="1:3" ht="28">
      <c r="A5" s="2" t="s">
        <v>490</v>
      </c>
      <c r="B5" s="2" t="s">
        <v>491</v>
      </c>
      <c r="C5" s="2"/>
    </row>
    <row r="6" spans="1:3" ht="28">
      <c r="A6" s="2" t="s">
        <v>492</v>
      </c>
      <c r="B6" s="2" t="s">
        <v>493</v>
      </c>
      <c r="C6" s="2"/>
    </row>
    <row r="7" spans="1:3" ht="28">
      <c r="A7" s="2" t="s">
        <v>494</v>
      </c>
      <c r="B7" s="2" t="s">
        <v>495</v>
      </c>
      <c r="C7" s="2"/>
    </row>
    <row r="8" spans="1:3">
      <c r="A8" s="2"/>
      <c r="B8" s="2"/>
      <c r="C8" s="2"/>
    </row>
    <row r="9" spans="1:3">
      <c r="A9" s="1" t="s">
        <v>496</v>
      </c>
      <c r="B9" s="1" t="s">
        <v>497</v>
      </c>
      <c r="C9" s="1" t="s">
        <v>498</v>
      </c>
    </row>
    <row r="10" spans="1:3" ht="28">
      <c r="A10" s="2" t="s">
        <v>499</v>
      </c>
      <c r="B10" s="2" t="s">
        <v>500</v>
      </c>
      <c r="C10" s="2" t="s">
        <v>501</v>
      </c>
    </row>
    <row r="11" spans="1:3">
      <c r="A11" s="2" t="s">
        <v>502</v>
      </c>
      <c r="B11" s="2" t="s">
        <v>503</v>
      </c>
      <c r="C11" s="2" t="s">
        <v>504</v>
      </c>
    </row>
    <row r="12" spans="1:3">
      <c r="A12" s="2" t="s">
        <v>505</v>
      </c>
      <c r="B12" s="2" t="s">
        <v>176</v>
      </c>
      <c r="C12" s="2" t="s">
        <v>506</v>
      </c>
    </row>
    <row r="13" spans="1:3" ht="28">
      <c r="A13" s="2" t="s">
        <v>507</v>
      </c>
      <c r="B13" s="2" t="s">
        <v>97</v>
      </c>
      <c r="C13" s="2" t="s">
        <v>508</v>
      </c>
    </row>
    <row r="14" spans="1:3" ht="28">
      <c r="A14" s="2" t="s">
        <v>509</v>
      </c>
      <c r="B14" s="2" t="s">
        <v>55</v>
      </c>
      <c r="C14" s="2" t="s">
        <v>510</v>
      </c>
    </row>
    <row r="15" spans="1:3" ht="28">
      <c r="A15" s="2" t="s">
        <v>511</v>
      </c>
      <c r="B15" s="2" t="s">
        <v>133</v>
      </c>
      <c r="C15" s="2" t="s">
        <v>512</v>
      </c>
    </row>
    <row r="16" spans="1:3" ht="28">
      <c r="A16" s="2" t="s">
        <v>513</v>
      </c>
      <c r="B16" s="2" t="s">
        <v>147</v>
      </c>
      <c r="C16" s="2" t="s">
        <v>514</v>
      </c>
    </row>
    <row r="17" spans="1:3">
      <c r="A17" s="2" t="s">
        <v>515</v>
      </c>
      <c r="B17" s="2" t="s">
        <v>516</v>
      </c>
      <c r="C17" s="2" t="s">
        <v>517</v>
      </c>
    </row>
    <row r="18" spans="1:3" ht="28">
      <c r="A18" s="2" t="s">
        <v>518</v>
      </c>
      <c r="B18" s="2" t="s">
        <v>54</v>
      </c>
      <c r="C18" s="2" t="s">
        <v>519</v>
      </c>
    </row>
    <row r="19" spans="1:3">
      <c r="A19" s="2" t="s">
        <v>520</v>
      </c>
      <c r="B19" s="2" t="s">
        <v>39</v>
      </c>
      <c r="C19" s="2" t="s">
        <v>521</v>
      </c>
    </row>
    <row r="20" spans="1:3">
      <c r="A20" s="2" t="s">
        <v>522</v>
      </c>
      <c r="B20" s="2" t="s">
        <v>40</v>
      </c>
      <c r="C20" s="2" t="s">
        <v>523</v>
      </c>
    </row>
    <row r="21" spans="1:3">
      <c r="A21" s="2" t="s">
        <v>524</v>
      </c>
      <c r="B21" s="2" t="s">
        <v>148</v>
      </c>
      <c r="C21" s="2" t="s">
        <v>525</v>
      </c>
    </row>
    <row r="22" spans="1:3">
      <c r="A22" s="2" t="s">
        <v>526</v>
      </c>
      <c r="B22" s="2" t="s">
        <v>71</v>
      </c>
      <c r="C22" s="2" t="s">
        <v>527</v>
      </c>
    </row>
    <row r="23" spans="1:3" ht="28">
      <c r="A23" s="2" t="s">
        <v>528</v>
      </c>
      <c r="B23" s="2" t="s">
        <v>249</v>
      </c>
      <c r="C23" s="2" t="s">
        <v>529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 Data</vt:lpstr>
      <vt:lpstr>Player Card</vt:lpstr>
      <vt:lpstr>Model Summary</vt:lpstr>
      <vt:lpstr>Sources + Method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Flora</dc:creator>
  <cp:lastModifiedBy>Ethan Flora</cp:lastModifiedBy>
  <dcterms:created xsi:type="dcterms:W3CDTF">2026-06-03T02:27:06Z</dcterms:created>
  <dcterms:modified xsi:type="dcterms:W3CDTF">2026-06-03T02:27:06Z</dcterms:modified>
</cp:coreProperties>
</file>